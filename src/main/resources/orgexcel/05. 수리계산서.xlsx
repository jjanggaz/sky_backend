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BKT\00. Water AI\01. WAI_DESIGN\00. WAI Design 2.0\00.WAI_Design\00. WAI Design 본 개발\01.착수\성과품 샘플\250702_WAI Design 산출 성과품 샘플\02.계산서\"/>
    </mc:Choice>
  </mc:AlternateContent>
  <xr:revisionPtr revIDLastSave="0" documentId="13_ncr:1_{9F27387E-54BE-4761-B01E-3016C8E301D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총괄수량(수리)" sheetId="1" state="hidden" r:id="rId1"/>
    <sheet name="수리계산서" sheetId="2" r:id="rId2"/>
  </sheets>
  <definedNames>
    <definedName name="_Order1">255</definedName>
    <definedName name="_Order2">0</definedName>
    <definedName name="asp두께">0.15</definedName>
    <definedName name="layout">INDEX(#REF!,(MATCH(#REF!,#REF!)))</definedName>
    <definedName name="Layout_1">INDEX(#REF!,MATCH(#REF!,#REF!))</definedName>
    <definedName name="Macro2">#N/A</definedName>
    <definedName name="Macro4">#N/A</definedName>
    <definedName name="Macro5">#N/A</definedName>
    <definedName name="net">#N/A</definedName>
    <definedName name="NNNNN">#N/A</definedName>
    <definedName name="_xlnm.Print_Area" localSheetId="1">수리계산서!$A$1:$Q$88</definedName>
    <definedName name="_xlnm.Print_Area" localSheetId="0">'총괄수량(수리)'!$A$1:$H$14</definedName>
    <definedName name="_xlnm.Print_Titles" localSheetId="1">수리계산서!$3:$4</definedName>
    <definedName name="ㄴㄴㄴㄴㄴ">{"Book1","토공.xls"}</definedName>
    <definedName name="다짐계수">0.875</definedName>
    <definedName name="ㄹ호">[0]!ㄹ호</definedName>
    <definedName name="레이아웃_테스트">INDEX(#REF!,(MATCH(#REF!,#REF!)))</definedName>
    <definedName name="마구리">{"Book1","토공.xls"}</definedName>
    <definedName name="배토판19ton">"Picture 11"</definedName>
    <definedName name="배토판32ton">"Picture 10"</definedName>
    <definedName name="보조기층두께">0.2</definedName>
    <definedName name="선택층두께">0.2</definedName>
    <definedName name="허허허허">{"Book1","토공.xls"}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" l="1"/>
  <c r="F47" i="2" l="1"/>
  <c r="F38" i="2"/>
  <c r="F29" i="2"/>
  <c r="F19" i="2"/>
  <c r="M5" i="2" l="1"/>
  <c r="F8" i="1"/>
  <c r="M6" i="2" s="1"/>
  <c r="F9" i="1"/>
  <c r="F10" i="1" s="1"/>
  <c r="M7" i="2" s="1"/>
  <c r="M9" i="2"/>
  <c r="F12" i="1"/>
  <c r="M10" i="2" s="1"/>
  <c r="M63" i="2"/>
  <c r="F76" i="2"/>
  <c r="M75" i="2" l="1"/>
  <c r="M68" i="2"/>
  <c r="M72" i="2"/>
  <c r="M70" i="2"/>
  <c r="M78" i="2"/>
  <c r="F13" i="1"/>
  <c r="F14" i="1" s="1"/>
  <c r="M11" i="2" s="1"/>
  <c r="M31" i="2" s="1"/>
  <c r="M79" i="2" l="1"/>
  <c r="M55" i="2" s="1"/>
  <c r="M40" i="2"/>
  <c r="M35" i="2" s="1"/>
  <c r="M21" i="2"/>
  <c r="M16" i="2" s="1"/>
  <c r="M25" i="2" s="1"/>
  <c r="M49" i="2"/>
  <c r="M43" i="2" l="1"/>
</calcChain>
</file>

<file path=xl/sharedStrings.xml><?xml version="1.0" encoding="utf-8"?>
<sst xmlns="http://schemas.openxmlformats.org/spreadsheetml/2006/main" count="120" uniqueCount="82">
  <si>
    <t xml:space="preserve">   가. 설계기준수량 : </t>
    <phoneticPr fontId="6" type="noConversion"/>
  </si>
  <si>
    <t>구  간</t>
    <phoneticPr fontId="6" type="noConversion"/>
  </si>
  <si>
    <t xml:space="preserve">D.W.L
(일최대) </t>
    <phoneticPr fontId="6" type="noConversion"/>
  </si>
  <si>
    <t>비     고</t>
    <phoneticPr fontId="6" type="noConversion"/>
  </si>
  <si>
    <t>유입량</t>
    <phoneticPr fontId="6" type="noConversion"/>
  </si>
  <si>
    <t>생물반응조</t>
    <phoneticPr fontId="6" type="noConversion"/>
  </si>
  <si>
    <t>전체</t>
    <phoneticPr fontId="6" type="noConversion"/>
  </si>
  <si>
    <t>지수</t>
    <phoneticPr fontId="6" type="noConversion"/>
  </si>
  <si>
    <t>총인처리설비</t>
    <phoneticPr fontId="6" type="noConversion"/>
  </si>
  <si>
    <t>생물반응조 유입유량(Q)</t>
    <phoneticPr fontId="6" type="noConversion"/>
  </si>
  <si>
    <t>㎥/일</t>
    <phoneticPr fontId="6" type="noConversion"/>
  </si>
  <si>
    <t>㎥/sec</t>
    <phoneticPr fontId="6" type="noConversion"/>
  </si>
  <si>
    <t>생물반응조 지당유량(q)</t>
    <phoneticPr fontId="6" type="noConversion"/>
  </si>
  <si>
    <t>총인처리 설비 유입유량(Q)</t>
    <phoneticPr fontId="6" type="noConversion"/>
  </si>
  <si>
    <t>부상분리설비 지당유량(q)</t>
    <phoneticPr fontId="6" type="noConversion"/>
  </si>
  <si>
    <t>1. 부상분리 처리수조 수위(EL. m)</t>
    <phoneticPr fontId="6" type="noConversion"/>
  </si>
  <si>
    <t>m</t>
    <phoneticPr fontId="6" type="noConversion"/>
  </si>
  <si>
    <t>처리수조 ~ 부상분리설비 : Pumping</t>
    <phoneticPr fontId="6" type="noConversion"/>
  </si>
  <si>
    <t>2. 부상분리조 수위(EL. m)</t>
    <phoneticPr fontId="6" type="noConversion"/>
  </si>
  <si>
    <t xml:space="preserve">  - 유출 개구부 손실</t>
    <phoneticPr fontId="6" type="noConversion"/>
  </si>
  <si>
    <t>개구부직경 (m)</t>
    <phoneticPr fontId="6" type="noConversion"/>
  </si>
  <si>
    <r>
      <t>개구부 면적(m</t>
    </r>
    <r>
      <rPr>
        <vertAlign val="superscript"/>
        <sz val="8"/>
        <rFont val="맑은 고딕"/>
        <family val="3"/>
        <charset val="129"/>
      </rPr>
      <t>2</t>
    </r>
    <r>
      <rPr>
        <sz val="8"/>
        <rFont val="맑은 고딕"/>
        <family val="3"/>
        <charset val="129"/>
      </rPr>
      <t>)</t>
    </r>
    <phoneticPr fontId="6" type="noConversion"/>
  </si>
  <si>
    <t>개구부 개소(개/지)</t>
    <phoneticPr fontId="6" type="noConversion"/>
  </si>
  <si>
    <t xml:space="preserve"> 손실수두(m) △h =</t>
    <phoneticPr fontId="6" type="noConversion"/>
  </si>
  <si>
    <r>
      <t>△h = (Q/CA√2g)</t>
    </r>
    <r>
      <rPr>
        <vertAlign val="superscript"/>
        <sz val="8"/>
        <rFont val="맑은 고딕"/>
        <family val="3"/>
        <charset val="129"/>
      </rPr>
      <t>2</t>
    </r>
    <phoneticPr fontId="6" type="noConversion"/>
  </si>
  <si>
    <t>C: 유량계수</t>
    <phoneticPr fontId="6" type="noConversion"/>
  </si>
  <si>
    <t>3. 부상분리조 유입 수위(EL. m)</t>
    <phoneticPr fontId="6" type="noConversion"/>
  </si>
  <si>
    <t xml:space="preserve"> 수문폭 (m)</t>
    <phoneticPr fontId="6" type="noConversion"/>
  </si>
  <si>
    <t xml:space="preserve"> 수문높이 (m)</t>
    <phoneticPr fontId="6" type="noConversion"/>
  </si>
  <si>
    <r>
      <t>수문 개구부 면적(m</t>
    </r>
    <r>
      <rPr>
        <vertAlign val="superscript"/>
        <sz val="8"/>
        <rFont val="맑은 고딕"/>
        <family val="3"/>
        <charset val="129"/>
      </rPr>
      <t>2</t>
    </r>
    <r>
      <rPr>
        <sz val="8"/>
        <rFont val="맑은 고딕"/>
        <family val="3"/>
        <charset val="129"/>
      </rPr>
      <t>)</t>
    </r>
    <phoneticPr fontId="6" type="noConversion"/>
  </si>
  <si>
    <t>수문 개구부 개소(개/지)</t>
    <phoneticPr fontId="6" type="noConversion"/>
  </si>
  <si>
    <t>4. 응집조 수위(EL. m)</t>
    <phoneticPr fontId="6" type="noConversion"/>
  </si>
  <si>
    <t>유출 웨어길이 (m)</t>
    <phoneticPr fontId="6" type="noConversion"/>
  </si>
  <si>
    <t>개소</t>
    <phoneticPr fontId="6" type="noConversion"/>
  </si>
  <si>
    <t>웨어 총 길이(m)</t>
    <phoneticPr fontId="6" type="noConversion"/>
  </si>
  <si>
    <t>유출 웨어정고 (EL. m)</t>
    <phoneticPr fontId="6" type="noConversion"/>
  </si>
  <si>
    <t xml:space="preserve"> 월류수위(m) △h =</t>
    <phoneticPr fontId="6" type="noConversion"/>
  </si>
  <si>
    <r>
      <t>△h = (q/1.84/B)</t>
    </r>
    <r>
      <rPr>
        <vertAlign val="superscript"/>
        <sz val="8"/>
        <rFont val="맑은 고딕"/>
        <family val="3"/>
        <charset val="129"/>
      </rPr>
      <t>(2/3)</t>
    </r>
    <phoneticPr fontId="6" type="noConversion"/>
  </si>
  <si>
    <t>5. 혼화조 수위(EL. m)</t>
    <phoneticPr fontId="6" type="noConversion"/>
  </si>
  <si>
    <t>생물반응조 처리수조 ~ 부상분리 설비 : Pumping</t>
    <phoneticPr fontId="6" type="noConversion"/>
  </si>
  <si>
    <t xml:space="preserve">  - 상등수 배출장치 손실</t>
    <phoneticPr fontId="6" type="noConversion"/>
  </si>
  <si>
    <t>cycle 수(cycle/d)</t>
    <phoneticPr fontId="6" type="noConversion"/>
  </si>
  <si>
    <t>지수(지)</t>
    <phoneticPr fontId="6" type="noConversion"/>
  </si>
  <si>
    <t>1회 배출시간(hr/cycle)</t>
    <phoneticPr fontId="6" type="noConversion"/>
  </si>
  <si>
    <t>장치 관거(mm)</t>
    <phoneticPr fontId="6" type="noConversion"/>
  </si>
  <si>
    <t>합류 관거(mm)</t>
    <phoneticPr fontId="6" type="noConversion"/>
  </si>
  <si>
    <t>유속(m/sec)</t>
    <phoneticPr fontId="6" type="noConversion"/>
  </si>
  <si>
    <t>m/sec</t>
    <phoneticPr fontId="6" type="noConversion"/>
  </si>
  <si>
    <t>곡관(90도)</t>
    <phoneticPr fontId="6" type="noConversion"/>
  </si>
  <si>
    <t>밸브(mm)</t>
    <phoneticPr fontId="6" type="noConversion"/>
  </si>
  <si>
    <t>버터플라이 밸브</t>
    <phoneticPr fontId="6" type="noConversion"/>
  </si>
  <si>
    <t>1) 유출손실수두</t>
    <phoneticPr fontId="6" type="noConversion"/>
  </si>
  <si>
    <t xml:space="preserve"> Δho = fo×(V²/ 2g)</t>
    <phoneticPr fontId="19" type="noConversion"/>
  </si>
  <si>
    <t>2) 유입손실수두</t>
    <phoneticPr fontId="6" type="noConversion"/>
  </si>
  <si>
    <t xml:space="preserve"> Δhi = fi×(V²/ 2g)</t>
    <phoneticPr fontId="19" type="noConversion"/>
  </si>
  <si>
    <t>3) 곡관손실수두(90도)</t>
    <phoneticPr fontId="6" type="noConversion"/>
  </si>
  <si>
    <t xml:space="preserve"> Δhb = fb×(V²/ 2g)</t>
    <phoneticPr fontId="19" type="noConversion"/>
  </si>
  <si>
    <t>4) 직관마찰손실계수</t>
    <phoneticPr fontId="6" type="noConversion"/>
  </si>
  <si>
    <t xml:space="preserve"> Δhf = f×(V²/ 2g)</t>
    <phoneticPr fontId="19" type="noConversion"/>
  </si>
  <si>
    <t>f=(0.04+1/(1000×D))×L/D</t>
    <phoneticPr fontId="6" type="noConversion"/>
  </si>
  <si>
    <t>5) 밸브손실</t>
    <phoneticPr fontId="6" type="noConversion"/>
  </si>
  <si>
    <t xml:space="preserve"> Δhbv = fbv×(V²/ 2g)</t>
    <phoneticPr fontId="19" type="noConversion"/>
  </si>
  <si>
    <t xml:space="preserve">  # 유입(fi) :</t>
    <phoneticPr fontId="6" type="noConversion"/>
  </si>
  <si>
    <t xml:space="preserve">  # 유출(fo) :</t>
    <phoneticPr fontId="6" type="noConversion"/>
  </si>
  <si>
    <t xml:space="preserve">  # 곡관(fb) :</t>
    <phoneticPr fontId="6" type="noConversion"/>
  </si>
  <si>
    <t xml:space="preserve">  # 밸브손실(fbv) :</t>
    <phoneticPr fontId="6" type="noConversion"/>
  </si>
  <si>
    <t>유량조정조 ~ 생물반응조 : Pumping</t>
    <phoneticPr fontId="6" type="noConversion"/>
  </si>
  <si>
    <t>m</t>
    <phoneticPr fontId="2" type="noConversion"/>
  </si>
  <si>
    <t>1. 설계기준 : 1,000㎥/일</t>
    <phoneticPr fontId="2" type="noConversion"/>
  </si>
  <si>
    <t xml:space="preserve">H.W.L
(시간최대) </t>
    <phoneticPr fontId="6" type="noConversion"/>
  </si>
  <si>
    <t xml:space="preserve">L.W.L
(일평균) </t>
    <phoneticPr fontId="6" type="noConversion"/>
  </si>
  <si>
    <t>6. 생물반응조 처리수조 수위(EL. m)</t>
    <phoneticPr fontId="6" type="noConversion"/>
  </si>
  <si>
    <t>7. 생물반응조 배출후 수위(EL. m)</t>
    <phoneticPr fontId="6" type="noConversion"/>
  </si>
  <si>
    <t>8. 생물반응조 운영 수위(EL. m)</t>
    <phoneticPr fontId="6" type="noConversion"/>
  </si>
  <si>
    <t>9. 유량조정조 운영 수위(EL. m)</t>
    <phoneticPr fontId="6" type="noConversion"/>
  </si>
  <si>
    <t>6) 합계</t>
    <phoneticPr fontId="6" type="noConversion"/>
  </si>
  <si>
    <t>산출근거</t>
    <phoneticPr fontId="13" type="noConversion"/>
  </si>
  <si>
    <t>HYDRAULIC PROFILE CALCULATION</t>
    <phoneticPr fontId="2" type="noConversion"/>
  </si>
  <si>
    <t>H.W.L
(시간최대)</t>
    <phoneticPr fontId="13" type="noConversion"/>
  </si>
  <si>
    <t>D.W.L
(일최대)</t>
    <phoneticPr fontId="13" type="noConversion"/>
  </si>
  <si>
    <t>L.W.L
(일평균)</t>
    <phoneticPr fontId="13" type="noConversion"/>
  </si>
  <si>
    <t>수리계산서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</si>
</sst>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76" formatCode="#,###&quot;㎥/일&quot;"/>
    <numFmt numFmtId="177" formatCode="0.000&quot;㎥/sec&quot;"/>
    <numFmt numFmtId="178" formatCode="_-* #,##0.000_-;\-* #,##0.000_-;_-* &quot;-&quot;_-;_-@_-"/>
    <numFmt numFmtId="179" formatCode="0.000_ "/>
    <numFmt numFmtId="180" formatCode="0.000_);[Red]\(0.000\)"/>
    <numFmt numFmtId="181" formatCode="0.0_);[Red]\(0.0\)"/>
    <numFmt numFmtId="182" formatCode="0.00_);[Red]\(0.00\)"/>
    <numFmt numFmtId="183" formatCode="0_);[Red]\(0\)"/>
    <numFmt numFmtId="184" formatCode="#,##0.000_ "/>
    <numFmt numFmtId="185" formatCode="0.00_ "/>
    <numFmt numFmtId="186" formatCode="_-* #,##0.0000_-;\-* #,##0.0000_-;_-* &quot;-&quot;_-;_-@_-"/>
    <numFmt numFmtId="187" formatCode="0.0_ "/>
  </numFmts>
  <fonts count="21">
    <font>
      <sz val="11"/>
      <color theme="1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</font>
    <font>
      <b/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vertAlign val="superscript"/>
      <sz val="8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8"/>
      <name val="바탕"/>
      <family val="1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5" fillId="0" borderId="0"/>
    <xf numFmtId="0" fontId="20" fillId="0" borderId="0">
      <alignment vertical="center"/>
    </xf>
  </cellStyleXfs>
  <cellXfs count="128">
    <xf numFmtId="0" fontId="0" fillId="0" borderId="0" xfId="0">
      <alignment vertical="center"/>
    </xf>
    <xf numFmtId="0" fontId="3" fillId="0" borderId="0" xfId="0" applyFont="1">
      <alignment vertical="center"/>
    </xf>
    <xf numFmtId="176" fontId="8" fillId="0" borderId="10" xfId="0" applyNumberFormat="1" applyFont="1" applyBorder="1">
      <alignment vertical="center"/>
    </xf>
    <xf numFmtId="177" fontId="8" fillId="0" borderId="15" xfId="0" applyNumberFormat="1" applyFont="1" applyBorder="1">
      <alignment vertical="center"/>
    </xf>
    <xf numFmtId="176" fontId="8" fillId="0" borderId="15" xfId="0" applyNumberFormat="1" applyFont="1" applyBorder="1">
      <alignment vertical="center"/>
    </xf>
    <xf numFmtId="177" fontId="8" fillId="0" borderId="20" xfId="0" applyNumberFormat="1" applyFont="1" applyBorder="1">
      <alignment vertical="center"/>
    </xf>
    <xf numFmtId="0" fontId="5" fillId="0" borderId="0" xfId="0" applyFont="1">
      <alignment vertical="center"/>
    </xf>
    <xf numFmtId="0" fontId="3" fillId="0" borderId="22" xfId="0" applyFont="1" applyBorder="1">
      <alignment vertical="center"/>
    </xf>
    <xf numFmtId="0" fontId="4" fillId="0" borderId="0" xfId="0" applyFont="1">
      <alignment vertical="center"/>
    </xf>
    <xf numFmtId="0" fontId="11" fillId="2" borderId="0" xfId="0" applyFont="1" applyFill="1">
      <alignment vertical="center"/>
    </xf>
    <xf numFmtId="0" fontId="13" fillId="2" borderId="2" xfId="0" applyFont="1" applyFill="1" applyBorder="1">
      <alignment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3" xfId="0" applyFont="1" applyFill="1" applyBorder="1">
      <alignment vertical="center"/>
    </xf>
    <xf numFmtId="0" fontId="13" fillId="2" borderId="2" xfId="0" applyFont="1" applyFill="1" applyBorder="1" applyAlignment="1">
      <alignment horizontal="left" vertical="center"/>
    </xf>
    <xf numFmtId="0" fontId="11" fillId="2" borderId="2" xfId="0" applyFont="1" applyFill="1" applyBorder="1">
      <alignment vertical="center"/>
    </xf>
    <xf numFmtId="0" fontId="14" fillId="2" borderId="2" xfId="0" applyFont="1" applyFill="1" applyBorder="1">
      <alignment vertical="center"/>
    </xf>
    <xf numFmtId="180" fontId="14" fillId="2" borderId="3" xfId="0" applyNumberFormat="1" applyFont="1" applyFill="1" applyBorder="1">
      <alignment vertical="center"/>
    </xf>
    <xf numFmtId="0" fontId="13" fillId="2" borderId="2" xfId="1" applyFont="1" applyFill="1" applyBorder="1" applyAlignment="1">
      <alignment vertical="center"/>
    </xf>
    <xf numFmtId="180" fontId="13" fillId="2" borderId="3" xfId="0" applyNumberFormat="1" applyFont="1" applyFill="1" applyBorder="1">
      <alignment vertical="center"/>
    </xf>
    <xf numFmtId="0" fontId="13" fillId="2" borderId="3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179" fontId="18" fillId="2" borderId="3" xfId="0" applyNumberFormat="1" applyFont="1" applyFill="1" applyBorder="1" applyAlignment="1">
      <alignment horizontal="left" vertical="center"/>
    </xf>
    <xf numFmtId="179" fontId="13" fillId="2" borderId="3" xfId="0" applyNumberFormat="1" applyFont="1" applyFill="1" applyBorder="1" applyAlignment="1">
      <alignment horizontal="left" vertical="center"/>
    </xf>
    <xf numFmtId="0" fontId="14" fillId="2" borderId="5" xfId="0" applyFont="1" applyFill="1" applyBorder="1">
      <alignment vertical="center"/>
    </xf>
    <xf numFmtId="0" fontId="13" fillId="2" borderId="22" xfId="0" applyFont="1" applyFill="1" applyBorder="1">
      <alignment vertical="center"/>
    </xf>
    <xf numFmtId="0" fontId="13" fillId="2" borderId="6" xfId="0" applyFont="1" applyFill="1" applyBorder="1" applyAlignment="1">
      <alignment horizontal="center" vertical="center"/>
    </xf>
    <xf numFmtId="0" fontId="14" fillId="2" borderId="22" xfId="0" applyFont="1" applyFill="1" applyBorder="1">
      <alignment vertical="center"/>
    </xf>
    <xf numFmtId="178" fontId="14" fillId="2" borderId="22" xfId="0" applyNumberFormat="1" applyFont="1" applyFill="1" applyBorder="1">
      <alignment vertical="center"/>
    </xf>
    <xf numFmtId="180" fontId="14" fillId="2" borderId="6" xfId="0" applyNumberFormat="1" applyFont="1" applyFill="1" applyBorder="1">
      <alignment vertical="center"/>
    </xf>
    <xf numFmtId="0" fontId="13" fillId="0" borderId="2" xfId="0" applyFont="1" applyBorder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3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179" fontId="18" fillId="2" borderId="2" xfId="0" applyNumberFormat="1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3" fontId="13" fillId="2" borderId="23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3" fillId="0" borderId="0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41" fontId="13" fillId="0" borderId="0" xfId="0" applyNumberFormat="1" applyFont="1" applyBorder="1" applyAlignment="1">
      <alignment horizontal="center" vertical="center"/>
    </xf>
    <xf numFmtId="0" fontId="11" fillId="2" borderId="0" xfId="0" applyFont="1" applyFill="1" applyBorder="1">
      <alignment vertical="center"/>
    </xf>
    <xf numFmtId="0" fontId="13" fillId="2" borderId="0" xfId="0" applyFont="1" applyFill="1" applyBorder="1">
      <alignment vertical="center"/>
    </xf>
    <xf numFmtId="178" fontId="13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179" fontId="13" fillId="2" borderId="0" xfId="0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/>
    <xf numFmtId="178" fontId="14" fillId="2" borderId="0" xfId="0" applyNumberFormat="1" applyFont="1" applyFill="1" applyBorder="1">
      <alignment vertical="center"/>
    </xf>
    <xf numFmtId="0" fontId="16" fillId="2" borderId="0" xfId="0" applyFont="1" applyFill="1" applyBorder="1">
      <alignment vertical="center"/>
    </xf>
    <xf numFmtId="178" fontId="13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left" vertical="center"/>
    </xf>
    <xf numFmtId="180" fontId="13" fillId="2" borderId="0" xfId="0" applyNumberFormat="1" applyFont="1" applyFill="1" applyBorder="1" applyAlignment="1">
      <alignment horizontal="center" vertical="center"/>
    </xf>
    <xf numFmtId="182" fontId="11" fillId="2" borderId="0" xfId="0" applyNumberFormat="1" applyFont="1" applyFill="1" applyBorder="1">
      <alignment vertical="center"/>
    </xf>
    <xf numFmtId="182" fontId="13" fillId="2" borderId="0" xfId="0" applyNumberFormat="1" applyFont="1" applyFill="1" applyBorder="1" applyAlignment="1">
      <alignment horizontal="center" vertical="center"/>
    </xf>
    <xf numFmtId="182" fontId="11" fillId="2" borderId="0" xfId="0" applyNumberFormat="1" applyFont="1" applyFill="1" applyBorder="1" applyAlignment="1">
      <alignment horizontal="center" vertical="center"/>
    </xf>
    <xf numFmtId="183" fontId="13" fillId="2" borderId="0" xfId="0" applyNumberFormat="1" applyFont="1" applyFill="1" applyBorder="1" applyAlignment="1">
      <alignment horizontal="center" vertical="center"/>
    </xf>
    <xf numFmtId="183" fontId="11" fillId="2" borderId="0" xfId="0" applyNumberFormat="1" applyFont="1" applyFill="1" applyBorder="1" applyAlignment="1">
      <alignment horizontal="center" vertical="center"/>
    </xf>
    <xf numFmtId="184" fontId="13" fillId="2" borderId="0" xfId="0" applyNumberFormat="1" applyFont="1" applyFill="1" applyBorder="1" applyAlignment="1">
      <alignment horizontal="left" vertical="center"/>
    </xf>
    <xf numFmtId="185" fontId="13" fillId="2" borderId="0" xfId="0" applyNumberFormat="1" applyFont="1" applyFill="1" applyBorder="1" applyAlignment="1">
      <alignment horizontal="center" vertical="center"/>
    </xf>
    <xf numFmtId="185" fontId="11" fillId="2" borderId="0" xfId="0" applyNumberFormat="1" applyFont="1" applyFill="1" applyBorder="1" applyAlignment="1">
      <alignment horizontal="center" vertical="center"/>
    </xf>
    <xf numFmtId="181" fontId="13" fillId="2" borderId="0" xfId="0" applyNumberFormat="1" applyFont="1" applyFill="1" applyBorder="1" applyAlignment="1">
      <alignment horizontal="center" vertical="center"/>
    </xf>
    <xf numFmtId="181" fontId="11" fillId="2" borderId="0" xfId="0" applyNumberFormat="1" applyFont="1" applyFill="1" applyBorder="1" applyAlignment="1">
      <alignment horizontal="center" vertical="center"/>
    </xf>
    <xf numFmtId="186" fontId="13" fillId="2" borderId="0" xfId="0" applyNumberFormat="1" applyFont="1" applyFill="1" applyBorder="1" applyAlignment="1">
      <alignment horizontal="center"/>
    </xf>
    <xf numFmtId="185" fontId="13" fillId="2" borderId="0" xfId="0" applyNumberFormat="1" applyFont="1" applyFill="1" applyBorder="1" applyAlignment="1">
      <alignment horizontal="center" vertical="center"/>
    </xf>
    <xf numFmtId="185" fontId="11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Border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right" vertical="center"/>
    </xf>
    <xf numFmtId="187" fontId="13" fillId="2" borderId="0" xfId="0" applyNumberFormat="1" applyFont="1" applyFill="1" applyBorder="1" applyAlignment="1">
      <alignment horizontal="center" vertical="center"/>
    </xf>
    <xf numFmtId="178" fontId="13" fillId="2" borderId="0" xfId="0" applyNumberFormat="1" applyFont="1" applyFill="1" applyBorder="1">
      <alignment vertical="center"/>
    </xf>
    <xf numFmtId="179" fontId="13" fillId="2" borderId="0" xfId="0" applyNumberFormat="1" applyFont="1" applyFill="1" applyBorder="1" applyAlignment="1">
      <alignment horizontal="center" vertical="center"/>
    </xf>
    <xf numFmtId="179" fontId="18" fillId="2" borderId="0" xfId="0" applyNumberFormat="1" applyFont="1" applyFill="1" applyBorder="1" applyAlignment="1">
      <alignment horizontal="left" vertical="center"/>
    </xf>
    <xf numFmtId="2" fontId="13" fillId="2" borderId="0" xfId="0" applyNumberFormat="1" applyFont="1" applyFill="1" applyBorder="1" applyAlignment="1">
      <alignment horizontal="center" vertical="center"/>
    </xf>
    <xf numFmtId="43" fontId="13" fillId="2" borderId="0" xfId="0" applyNumberFormat="1" applyFont="1" applyFill="1" applyBorder="1" applyAlignment="1">
      <alignment horizontal="center"/>
    </xf>
    <xf numFmtId="184" fontId="13" fillId="2" borderId="22" xfId="0" applyNumberFormat="1" applyFont="1" applyFill="1" applyBorder="1" applyAlignment="1">
      <alignment horizontal="left" vertical="center"/>
    </xf>
    <xf numFmtId="183" fontId="13" fillId="2" borderId="22" xfId="0" applyNumberFormat="1" applyFont="1" applyFill="1" applyBorder="1" applyAlignment="1">
      <alignment horizontal="center" vertical="center"/>
    </xf>
    <xf numFmtId="179" fontId="13" fillId="2" borderId="22" xfId="0" applyNumberFormat="1" applyFont="1" applyFill="1" applyBorder="1" applyAlignment="1">
      <alignment horizontal="right" vertical="center"/>
    </xf>
    <xf numFmtId="0" fontId="13" fillId="2" borderId="6" xfId="0" applyFont="1" applyFill="1" applyBorder="1">
      <alignment vertical="center"/>
    </xf>
    <xf numFmtId="0" fontId="11" fillId="2" borderId="22" xfId="0" applyFont="1" applyFill="1" applyBorder="1">
      <alignment vertical="center"/>
    </xf>
    <xf numFmtId="0" fontId="11" fillId="2" borderId="6" xfId="0" applyFont="1" applyFill="1" applyBorder="1">
      <alignment vertical="center"/>
    </xf>
    <xf numFmtId="184" fontId="13" fillId="2" borderId="23" xfId="0" applyNumberFormat="1" applyFont="1" applyFill="1" applyBorder="1" applyAlignment="1">
      <alignment horizontal="left" vertical="center"/>
    </xf>
    <xf numFmtId="179" fontId="13" fillId="2" borderId="23" xfId="0" applyNumberFormat="1" applyFont="1" applyFill="1" applyBorder="1" applyAlignment="1">
      <alignment horizontal="right" vertical="center"/>
    </xf>
    <xf numFmtId="0" fontId="13" fillId="2" borderId="24" xfId="0" applyFont="1" applyFill="1" applyBorder="1">
      <alignment vertical="center"/>
    </xf>
    <xf numFmtId="0" fontId="11" fillId="2" borderId="23" xfId="0" applyFont="1" applyFill="1" applyBorder="1">
      <alignment vertical="center"/>
    </xf>
    <xf numFmtId="0" fontId="11" fillId="2" borderId="24" xfId="0" applyFont="1" applyFill="1" applyBorder="1">
      <alignment vertical="center"/>
    </xf>
    <xf numFmtId="2" fontId="13" fillId="2" borderId="0" xfId="0" applyNumberFormat="1" applyFont="1" applyFill="1" applyBorder="1" applyAlignment="1">
      <alignment horizontal="right" vertical="center"/>
    </xf>
    <xf numFmtId="187" fontId="11" fillId="2" borderId="0" xfId="0" applyNumberFormat="1" applyFont="1" applyFill="1" applyBorder="1" applyAlignment="1">
      <alignment horizontal="center" vertical="center"/>
    </xf>
  </cellXfs>
  <cellStyles count="3">
    <cellStyle name="표준" xfId="0" builtinId="0"/>
    <cellStyle name="표준 2" xfId="2" xr:uid="{00000000-0005-0000-0000-000001000000}"/>
    <cellStyle name="표준 4" xfId="1" xr:uid="{00000000-0005-0000-0000-000002000000}"/>
  </cellStyles>
  <dxfs count="0"/>
  <tableStyles count="0" defaultTableStyle="TableStyleMedium2" defaultPivotStyle="PivotStyleLight16"/>
  <colors>
    <mruColors>
      <color rgb="FFB8D3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>
    <tabColor rgb="FFFF0000"/>
  </sheetPr>
  <dimension ref="A1:H14"/>
  <sheetViews>
    <sheetView showGridLines="0" view="pageBreakPreview" zoomScaleSheetLayoutView="100" workbookViewId="0">
      <selection activeCell="F5" sqref="F5:F6"/>
    </sheetView>
  </sheetViews>
  <sheetFormatPr defaultColWidth="9" defaultRowHeight="16.5"/>
  <cols>
    <col min="1" max="1" width="6.875" style="1" customWidth="1"/>
    <col min="2" max="2" width="17.75" style="1" customWidth="1"/>
    <col min="3" max="4" width="6.5" style="1" customWidth="1"/>
    <col min="5" max="7" width="12.125" style="1" customWidth="1"/>
    <col min="8" max="8" width="11.375" style="1" customWidth="1"/>
    <col min="9" max="9" width="9" style="1"/>
    <col min="10" max="10" width="12.25" style="1" customWidth="1"/>
    <col min="11" max="11" width="9" style="1"/>
    <col min="12" max="12" width="10" style="1" customWidth="1"/>
    <col min="13" max="16384" width="9" style="1"/>
  </cols>
  <sheetData>
    <row r="1" spans="1:8" ht="13.5" customHeight="1">
      <c r="A1" s="60" t="s">
        <v>77</v>
      </c>
      <c r="B1" s="61"/>
      <c r="C1" s="61"/>
      <c r="D1" s="61"/>
      <c r="E1" s="61"/>
      <c r="F1" s="61"/>
      <c r="G1" s="61"/>
      <c r="H1" s="61"/>
    </row>
    <row r="2" spans="1:8" ht="13.5" customHeight="1">
      <c r="A2" s="61"/>
      <c r="B2" s="61"/>
      <c r="C2" s="61"/>
      <c r="D2" s="61"/>
      <c r="E2" s="61"/>
      <c r="F2" s="61"/>
      <c r="G2" s="61"/>
      <c r="H2" s="61"/>
    </row>
    <row r="3" spans="1:8" ht="24.95" customHeight="1">
      <c r="A3" s="8" t="s">
        <v>68</v>
      </c>
      <c r="B3" s="6"/>
      <c r="C3" s="6"/>
    </row>
    <row r="4" spans="1:8" ht="17.25" customHeight="1">
      <c r="A4" s="7" t="s">
        <v>0</v>
      </c>
      <c r="B4" s="7"/>
      <c r="C4" s="7"/>
      <c r="D4" s="7"/>
      <c r="E4" s="7"/>
      <c r="F4" s="7"/>
      <c r="G4" s="7"/>
      <c r="H4" s="7"/>
    </row>
    <row r="5" spans="1:8" ht="17.100000000000001" customHeight="1">
      <c r="A5" s="62" t="s">
        <v>1</v>
      </c>
      <c r="B5" s="62"/>
      <c r="C5" s="62"/>
      <c r="D5" s="62"/>
      <c r="E5" s="65" t="s">
        <v>70</v>
      </c>
      <c r="F5" s="65" t="s">
        <v>2</v>
      </c>
      <c r="G5" s="65" t="s">
        <v>69</v>
      </c>
      <c r="H5" s="62" t="s">
        <v>3</v>
      </c>
    </row>
    <row r="6" spans="1:8" ht="15.75" customHeight="1">
      <c r="A6" s="62"/>
      <c r="B6" s="62"/>
      <c r="C6" s="62"/>
      <c r="D6" s="62"/>
      <c r="E6" s="66"/>
      <c r="F6" s="66"/>
      <c r="G6" s="66"/>
      <c r="H6" s="62"/>
    </row>
    <row r="7" spans="1:8" ht="27.75" customHeight="1">
      <c r="A7" s="54" t="s">
        <v>4</v>
      </c>
      <c r="B7" s="57" t="s">
        <v>5</v>
      </c>
      <c r="C7" s="63" t="s">
        <v>6</v>
      </c>
      <c r="D7" s="64"/>
      <c r="E7" s="2"/>
      <c r="F7" s="2">
        <v>1041</v>
      </c>
      <c r="G7" s="2"/>
      <c r="H7" s="49"/>
    </row>
    <row r="8" spans="1:8" ht="27.75" customHeight="1">
      <c r="A8" s="55"/>
      <c r="B8" s="58"/>
      <c r="C8" s="52"/>
      <c r="D8" s="52"/>
      <c r="E8" s="3"/>
      <c r="F8" s="3">
        <f>ROUND((F7/86400),3)</f>
        <v>1.2E-2</v>
      </c>
      <c r="G8" s="3"/>
      <c r="H8" s="50"/>
    </row>
    <row r="9" spans="1:8" ht="27.75" customHeight="1">
      <c r="A9" s="55"/>
      <c r="B9" s="58"/>
      <c r="C9" s="52" t="s">
        <v>7</v>
      </c>
      <c r="D9" s="52">
        <v>2</v>
      </c>
      <c r="E9" s="4"/>
      <c r="F9" s="4">
        <f>F7/$D$9</f>
        <v>520.5</v>
      </c>
      <c r="G9" s="4"/>
      <c r="H9" s="50"/>
    </row>
    <row r="10" spans="1:8" ht="27.75" customHeight="1">
      <c r="A10" s="56"/>
      <c r="B10" s="59"/>
      <c r="C10" s="53"/>
      <c r="D10" s="53"/>
      <c r="E10" s="5"/>
      <c r="F10" s="5">
        <f>ROUND((F9/86400),3)</f>
        <v>6.0000000000000001E-3</v>
      </c>
      <c r="G10" s="5"/>
      <c r="H10" s="51"/>
    </row>
    <row r="11" spans="1:8" ht="27.75" customHeight="1">
      <c r="A11" s="54" t="s">
        <v>4</v>
      </c>
      <c r="B11" s="57" t="s">
        <v>8</v>
      </c>
      <c r="C11" s="46" t="s">
        <v>6</v>
      </c>
      <c r="D11" s="47"/>
      <c r="E11" s="4"/>
      <c r="F11" s="4">
        <v>1042</v>
      </c>
      <c r="G11" s="4"/>
      <c r="H11" s="49"/>
    </row>
    <row r="12" spans="1:8" ht="27.75" customHeight="1">
      <c r="A12" s="55"/>
      <c r="B12" s="58"/>
      <c r="C12" s="48"/>
      <c r="D12" s="48"/>
      <c r="E12" s="3"/>
      <c r="F12" s="3">
        <f>ROUND((F11/86400),3)</f>
        <v>1.2E-2</v>
      </c>
      <c r="G12" s="3"/>
      <c r="H12" s="50"/>
    </row>
    <row r="13" spans="1:8" ht="27.75" customHeight="1">
      <c r="A13" s="55"/>
      <c r="B13" s="58"/>
      <c r="C13" s="52" t="s">
        <v>7</v>
      </c>
      <c r="D13" s="52">
        <v>2</v>
      </c>
      <c r="E13" s="4"/>
      <c r="F13" s="4">
        <f>IF(D13=0,0,F11/$D$13)</f>
        <v>521</v>
      </c>
      <c r="G13" s="4"/>
      <c r="H13" s="50"/>
    </row>
    <row r="14" spans="1:8" ht="27.75" customHeight="1">
      <c r="A14" s="56"/>
      <c r="B14" s="59"/>
      <c r="C14" s="53"/>
      <c r="D14" s="53"/>
      <c r="E14" s="5"/>
      <c r="F14" s="5">
        <f>ROUND((F13/86400),3)</f>
        <v>6.0000000000000001E-3</v>
      </c>
      <c r="G14" s="5"/>
      <c r="H14" s="51"/>
    </row>
  </sheetData>
  <mergeCells count="18">
    <mergeCell ref="A1:H2"/>
    <mergeCell ref="A5:D6"/>
    <mergeCell ref="H5:H6"/>
    <mergeCell ref="A7:A10"/>
    <mergeCell ref="B7:B10"/>
    <mergeCell ref="C7:D8"/>
    <mergeCell ref="H7:H10"/>
    <mergeCell ref="F5:F6"/>
    <mergeCell ref="E5:E6"/>
    <mergeCell ref="G5:G6"/>
    <mergeCell ref="C9:C10"/>
    <mergeCell ref="D9:D10"/>
    <mergeCell ref="C11:D12"/>
    <mergeCell ref="H11:H14"/>
    <mergeCell ref="C13:C14"/>
    <mergeCell ref="D13:D14"/>
    <mergeCell ref="A11:A14"/>
    <mergeCell ref="B11:B14"/>
  </mergeCells>
  <phoneticPr fontId="2" type="noConversion"/>
  <printOptions horizontalCentered="1"/>
  <pageMargins left="0.78740157480314965" right="0.78740157480314965" top="0.78740157480314965" bottom="0.59055118110236227" header="0.59055118110236227" footer="0.39370078740157483"/>
  <pageSetup paperSize="9" scale="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3">
    <tabColor rgb="FFFF0000"/>
    <pageSetUpPr fitToPage="1"/>
  </sheetPr>
  <dimension ref="A1:Q88"/>
  <sheetViews>
    <sheetView showGridLines="0" tabSelected="1" view="pageBreakPreview" zoomScale="85" zoomScaleNormal="85" zoomScaleSheetLayoutView="85" workbookViewId="0">
      <selection sqref="A1:Q2"/>
    </sheetView>
  </sheetViews>
  <sheetFormatPr defaultColWidth="9" defaultRowHeight="16.5"/>
  <cols>
    <col min="1" max="3" width="4.25" style="9" customWidth="1"/>
    <col min="4" max="4" width="5.875" style="9" customWidth="1"/>
    <col min="5" max="5" width="6.625" style="9" customWidth="1"/>
    <col min="6" max="6" width="4.5" style="9" customWidth="1"/>
    <col min="7" max="7" width="4.25" style="9" customWidth="1"/>
    <col min="8" max="8" width="5.5" style="9" customWidth="1"/>
    <col min="9" max="11" width="4.25" style="9" customWidth="1"/>
    <col min="12" max="12" width="3.125" style="9" customWidth="1"/>
    <col min="13" max="13" width="24.625" style="9" customWidth="1"/>
    <col min="14" max="14" width="9.125" style="9" customWidth="1"/>
    <col min="15" max="17" width="4.25" style="9" customWidth="1"/>
    <col min="18" max="16384" width="9" style="9"/>
  </cols>
  <sheetData>
    <row r="1" spans="1:17" ht="15" customHeight="1">
      <c r="A1" s="76" t="s">
        <v>81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7" ht="1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</row>
    <row r="3" spans="1:17" ht="12.6" customHeight="1">
      <c r="A3" s="67" t="s">
        <v>76</v>
      </c>
      <c r="B3" s="68"/>
      <c r="C3" s="68"/>
      <c r="D3" s="68"/>
      <c r="E3" s="68"/>
      <c r="F3" s="68"/>
      <c r="G3" s="68"/>
      <c r="H3" s="69"/>
      <c r="I3" s="74" t="s">
        <v>80</v>
      </c>
      <c r="J3" s="68"/>
      <c r="K3" s="69"/>
      <c r="L3" s="73" t="s">
        <v>79</v>
      </c>
      <c r="M3" s="68"/>
      <c r="N3" s="69"/>
      <c r="O3" s="73" t="s">
        <v>78</v>
      </c>
      <c r="P3" s="68"/>
      <c r="Q3" s="69"/>
    </row>
    <row r="4" spans="1:17" ht="12.6" customHeight="1">
      <c r="A4" s="70"/>
      <c r="B4" s="71"/>
      <c r="C4" s="71"/>
      <c r="D4" s="71"/>
      <c r="E4" s="71"/>
      <c r="F4" s="71"/>
      <c r="G4" s="71"/>
      <c r="H4" s="72"/>
      <c r="I4" s="70"/>
      <c r="J4" s="71"/>
      <c r="K4" s="72"/>
      <c r="L4" s="71"/>
      <c r="M4" s="71"/>
      <c r="N4" s="72"/>
      <c r="O4" s="71"/>
      <c r="P4" s="71"/>
      <c r="Q4" s="72"/>
    </row>
    <row r="5" spans="1:17" ht="14.45" customHeight="1">
      <c r="A5" s="30" t="s">
        <v>9</v>
      </c>
      <c r="B5" s="77"/>
      <c r="C5" s="77"/>
      <c r="D5" s="77"/>
      <c r="E5" s="77"/>
      <c r="F5" s="77"/>
      <c r="G5" s="77"/>
      <c r="H5" s="31"/>
      <c r="I5" s="40"/>
      <c r="J5" s="78"/>
      <c r="K5" s="31"/>
      <c r="L5" s="77"/>
      <c r="M5" s="79">
        <f>'총괄수량(수리)'!F7</f>
        <v>1041</v>
      </c>
      <c r="N5" s="32" t="s">
        <v>10</v>
      </c>
      <c r="O5" s="80"/>
      <c r="P5" s="80"/>
      <c r="Q5" s="39"/>
    </row>
    <row r="6" spans="1:17" ht="14.45" customHeight="1">
      <c r="A6" s="10"/>
      <c r="B6" s="81"/>
      <c r="C6" s="81"/>
      <c r="D6" s="81"/>
      <c r="E6" s="81"/>
      <c r="F6" s="81"/>
      <c r="G6" s="81"/>
      <c r="H6" s="13"/>
      <c r="I6" s="10"/>
      <c r="J6" s="81"/>
      <c r="K6" s="13"/>
      <c r="L6" s="81"/>
      <c r="M6" s="82">
        <f>'총괄수량(수리)'!F8</f>
        <v>1.2E-2</v>
      </c>
      <c r="N6" s="13" t="s">
        <v>11</v>
      </c>
      <c r="O6" s="80"/>
      <c r="P6" s="80"/>
      <c r="Q6" s="39"/>
    </row>
    <row r="7" spans="1:17" ht="14.45" customHeight="1">
      <c r="A7" s="14" t="s">
        <v>12</v>
      </c>
      <c r="B7" s="81"/>
      <c r="C7" s="81"/>
      <c r="D7" s="81"/>
      <c r="E7" s="81"/>
      <c r="F7" s="81"/>
      <c r="G7" s="81"/>
      <c r="H7" s="11"/>
      <c r="I7" s="41"/>
      <c r="J7" s="83"/>
      <c r="K7" s="11"/>
      <c r="L7" s="81"/>
      <c r="M7" s="84">
        <f>'총괄수량(수리)'!F10</f>
        <v>6.0000000000000001E-3</v>
      </c>
      <c r="N7" s="13" t="s">
        <v>11</v>
      </c>
      <c r="O7" s="80"/>
      <c r="P7" s="80"/>
      <c r="Q7" s="39"/>
    </row>
    <row r="8" spans="1:17" ht="14.45" customHeight="1">
      <c r="A8" s="14"/>
      <c r="B8" s="81"/>
      <c r="C8" s="81"/>
      <c r="D8" s="81"/>
      <c r="E8" s="81"/>
      <c r="F8" s="81"/>
      <c r="G8" s="81"/>
      <c r="H8" s="11"/>
      <c r="I8" s="41"/>
      <c r="J8" s="83"/>
      <c r="K8" s="11"/>
      <c r="L8" s="81"/>
      <c r="M8" s="84"/>
      <c r="N8" s="13"/>
      <c r="O8" s="80"/>
      <c r="P8" s="80"/>
      <c r="Q8" s="39"/>
    </row>
    <row r="9" spans="1:17" ht="14.45" customHeight="1">
      <c r="A9" s="14" t="s">
        <v>13</v>
      </c>
      <c r="B9" s="81"/>
      <c r="C9" s="81"/>
      <c r="D9" s="81"/>
      <c r="E9" s="81"/>
      <c r="F9" s="81"/>
      <c r="G9" s="81"/>
      <c r="H9" s="11"/>
      <c r="I9" s="41"/>
      <c r="J9" s="83"/>
      <c r="K9" s="11"/>
      <c r="L9" s="81"/>
      <c r="M9" s="85">
        <f>'총괄수량(수리)'!F11</f>
        <v>1042</v>
      </c>
      <c r="N9" s="12" t="s">
        <v>10</v>
      </c>
      <c r="O9" s="80"/>
      <c r="P9" s="80"/>
      <c r="Q9" s="39"/>
    </row>
    <row r="10" spans="1:17" ht="14.45" customHeight="1">
      <c r="A10" s="14"/>
      <c r="B10" s="81"/>
      <c r="C10" s="81"/>
      <c r="D10" s="81"/>
      <c r="E10" s="81"/>
      <c r="F10" s="81"/>
      <c r="G10" s="81"/>
      <c r="H10" s="11"/>
      <c r="I10" s="41"/>
      <c r="J10" s="83"/>
      <c r="K10" s="11"/>
      <c r="L10" s="81"/>
      <c r="M10" s="82">
        <f>'총괄수량(수리)'!F12</f>
        <v>1.2E-2</v>
      </c>
      <c r="N10" s="13" t="s">
        <v>11</v>
      </c>
      <c r="O10" s="80"/>
      <c r="P10" s="80"/>
      <c r="Q10" s="39"/>
    </row>
    <row r="11" spans="1:17" ht="14.45" customHeight="1">
      <c r="A11" s="14" t="s">
        <v>14</v>
      </c>
      <c r="B11" s="81"/>
      <c r="C11" s="81"/>
      <c r="D11" s="81"/>
      <c r="E11" s="81"/>
      <c r="F11" s="81"/>
      <c r="G11" s="81"/>
      <c r="H11" s="11"/>
      <c r="I11" s="41"/>
      <c r="J11" s="83"/>
      <c r="K11" s="11"/>
      <c r="L11" s="81"/>
      <c r="M11" s="82">
        <f>'총괄수량(수리)'!F14</f>
        <v>6.0000000000000001E-3</v>
      </c>
      <c r="N11" s="13" t="s">
        <v>11</v>
      </c>
      <c r="O11" s="80"/>
      <c r="P11" s="80"/>
      <c r="Q11" s="39"/>
    </row>
    <row r="12" spans="1:17" ht="14.45" customHeight="1">
      <c r="A12" s="15"/>
      <c r="B12" s="81"/>
      <c r="C12" s="81"/>
      <c r="D12" s="81"/>
      <c r="E12" s="81"/>
      <c r="F12" s="81"/>
      <c r="G12" s="81"/>
      <c r="H12" s="11"/>
      <c r="I12" s="41"/>
      <c r="J12" s="83"/>
      <c r="K12" s="11"/>
      <c r="L12" s="81"/>
      <c r="M12" s="84"/>
      <c r="N12" s="13"/>
      <c r="O12" s="80"/>
      <c r="P12" s="80"/>
      <c r="Q12" s="39"/>
    </row>
    <row r="13" spans="1:17" ht="14.45" customHeight="1">
      <c r="A13" s="16" t="s">
        <v>15</v>
      </c>
      <c r="B13" s="86"/>
      <c r="C13" s="86"/>
      <c r="D13" s="86"/>
      <c r="E13" s="86"/>
      <c r="F13" s="86"/>
      <c r="G13" s="86"/>
      <c r="H13" s="11"/>
      <c r="I13" s="41"/>
      <c r="J13" s="83"/>
      <c r="K13" s="11"/>
      <c r="L13" s="86"/>
      <c r="M13" s="87">
        <v>45.354999999999997</v>
      </c>
      <c r="N13" s="17" t="s">
        <v>16</v>
      </c>
      <c r="O13" s="80"/>
      <c r="P13" s="80"/>
      <c r="Q13" s="39"/>
    </row>
    <row r="14" spans="1:17" ht="14.45" customHeight="1">
      <c r="A14" s="18" t="s">
        <v>17</v>
      </c>
      <c r="B14" s="88"/>
      <c r="C14" s="88"/>
      <c r="D14" s="82"/>
      <c r="E14" s="82"/>
      <c r="F14" s="86"/>
      <c r="G14" s="86"/>
      <c r="H14" s="11"/>
      <c r="I14" s="41"/>
      <c r="J14" s="83"/>
      <c r="K14" s="11"/>
      <c r="L14" s="86"/>
      <c r="M14" s="87"/>
      <c r="N14" s="17"/>
      <c r="O14" s="80"/>
      <c r="P14" s="80"/>
      <c r="Q14" s="39"/>
    </row>
    <row r="15" spans="1:17" ht="14.45" customHeight="1">
      <c r="A15" s="18"/>
      <c r="B15" s="88"/>
      <c r="C15" s="88"/>
      <c r="D15" s="82"/>
      <c r="E15" s="82"/>
      <c r="F15" s="86"/>
      <c r="G15" s="86"/>
      <c r="H15" s="11"/>
      <c r="I15" s="41"/>
      <c r="J15" s="83"/>
      <c r="K15" s="11"/>
      <c r="L15" s="86"/>
      <c r="M15" s="87"/>
      <c r="N15" s="17"/>
      <c r="O15" s="80"/>
      <c r="P15" s="80"/>
      <c r="Q15" s="39"/>
    </row>
    <row r="16" spans="1:17" ht="14.45" customHeight="1">
      <c r="A16" s="16" t="s">
        <v>18</v>
      </c>
      <c r="B16" s="86"/>
      <c r="C16" s="86"/>
      <c r="D16" s="86"/>
      <c r="E16" s="86"/>
      <c r="F16" s="86"/>
      <c r="G16" s="86"/>
      <c r="H16" s="11"/>
      <c r="I16" s="41"/>
      <c r="J16" s="83"/>
      <c r="K16" s="11"/>
      <c r="L16" s="86"/>
      <c r="M16" s="87">
        <f>M13+M21</f>
        <v>46.67834305704158</v>
      </c>
      <c r="N16" s="17" t="s">
        <v>16</v>
      </c>
      <c r="O16" s="80"/>
      <c r="P16" s="80"/>
      <c r="Q16" s="39"/>
    </row>
    <row r="17" spans="1:17" ht="14.45" customHeight="1">
      <c r="A17" s="14" t="s">
        <v>19</v>
      </c>
      <c r="B17" s="86"/>
      <c r="C17" s="86"/>
      <c r="D17" s="86"/>
      <c r="E17" s="86"/>
      <c r="F17" s="86"/>
      <c r="G17" s="86"/>
      <c r="H17" s="11"/>
      <c r="I17" s="41"/>
      <c r="J17" s="83"/>
      <c r="K17" s="11"/>
      <c r="L17" s="86"/>
      <c r="M17" s="89"/>
      <c r="N17" s="17"/>
      <c r="O17" s="80"/>
      <c r="P17" s="80"/>
      <c r="Q17" s="39"/>
    </row>
    <row r="18" spans="1:17" ht="14.45" customHeight="1">
      <c r="A18" s="14"/>
      <c r="B18" s="90" t="s">
        <v>20</v>
      </c>
      <c r="C18" s="83"/>
      <c r="D18" s="83"/>
      <c r="E18" s="83"/>
      <c r="F18" s="91">
        <v>0.125</v>
      </c>
      <c r="G18" s="91"/>
      <c r="H18" s="11"/>
      <c r="I18" s="41"/>
      <c r="J18" s="83"/>
      <c r="K18" s="11"/>
      <c r="L18" s="86"/>
      <c r="M18" s="89"/>
      <c r="N18" s="17"/>
      <c r="O18" s="92"/>
      <c r="P18" s="80"/>
      <c r="Q18" s="39"/>
    </row>
    <row r="19" spans="1:17" ht="14.45" customHeight="1">
      <c r="A19" s="14"/>
      <c r="B19" s="90" t="s">
        <v>21</v>
      </c>
      <c r="C19" s="83"/>
      <c r="D19" s="83"/>
      <c r="E19" s="83"/>
      <c r="F19" s="93">
        <f>3.14*F18^2/4</f>
        <v>1.2265625E-2</v>
      </c>
      <c r="G19" s="94"/>
      <c r="H19" s="11"/>
      <c r="I19" s="41"/>
      <c r="J19" s="83"/>
      <c r="K19" s="11"/>
      <c r="L19" s="86"/>
      <c r="M19" s="89"/>
      <c r="N19" s="17"/>
      <c r="O19" s="80"/>
      <c r="P19" s="80"/>
      <c r="Q19" s="39"/>
    </row>
    <row r="20" spans="1:17" ht="14.45" customHeight="1">
      <c r="A20" s="14"/>
      <c r="B20" s="90" t="s">
        <v>22</v>
      </c>
      <c r="C20" s="83"/>
      <c r="D20" s="83"/>
      <c r="E20" s="83"/>
      <c r="F20" s="95">
        <v>2</v>
      </c>
      <c r="G20" s="96"/>
      <c r="H20" s="11"/>
      <c r="I20" s="41"/>
      <c r="J20" s="83"/>
      <c r="K20" s="11"/>
      <c r="L20" s="86"/>
      <c r="M20" s="89"/>
      <c r="N20" s="17"/>
      <c r="O20" s="80"/>
      <c r="P20" s="80"/>
      <c r="Q20" s="39"/>
    </row>
    <row r="21" spans="1:17" ht="14.45" customHeight="1">
      <c r="A21" s="14"/>
      <c r="B21" s="90" t="s">
        <v>23</v>
      </c>
      <c r="C21" s="86"/>
      <c r="D21" s="86"/>
      <c r="E21" s="86"/>
      <c r="F21" s="86"/>
      <c r="G21" s="86"/>
      <c r="H21" s="11"/>
      <c r="I21" s="41"/>
      <c r="J21" s="83"/>
      <c r="K21" s="11"/>
      <c r="L21" s="86"/>
      <c r="M21" s="89">
        <f>M11/($F$23*$F$19*$F$20*(19.6^0.5))^2</f>
        <v>1.3233430570415801</v>
      </c>
      <c r="N21" s="19" t="s">
        <v>67</v>
      </c>
      <c r="O21" s="80"/>
      <c r="P21" s="80"/>
      <c r="Q21" s="39"/>
    </row>
    <row r="22" spans="1:17" ht="14.45" customHeight="1">
      <c r="A22" s="14"/>
      <c r="B22" s="81" t="s">
        <v>24</v>
      </c>
      <c r="C22" s="86"/>
      <c r="D22" s="86"/>
      <c r="E22" s="86"/>
      <c r="F22" s="86"/>
      <c r="G22" s="86"/>
      <c r="H22" s="11"/>
      <c r="I22" s="41"/>
      <c r="J22" s="83"/>
      <c r="K22" s="11"/>
      <c r="L22" s="86"/>
      <c r="M22" s="89"/>
      <c r="N22" s="17"/>
      <c r="O22" s="80"/>
      <c r="P22" s="80"/>
      <c r="Q22" s="39"/>
    </row>
    <row r="23" spans="1:17" ht="14.45" customHeight="1">
      <c r="A23" s="14"/>
      <c r="B23" s="97" t="s">
        <v>25</v>
      </c>
      <c r="C23" s="83"/>
      <c r="D23" s="83"/>
      <c r="E23" s="83"/>
      <c r="F23" s="98">
        <v>0.62</v>
      </c>
      <c r="G23" s="99"/>
      <c r="H23" s="11"/>
      <c r="I23" s="41"/>
      <c r="J23" s="83"/>
      <c r="K23" s="11"/>
      <c r="L23" s="86"/>
      <c r="M23" s="89"/>
      <c r="N23" s="17"/>
      <c r="O23" s="80"/>
      <c r="P23" s="80"/>
      <c r="Q23" s="39"/>
    </row>
    <row r="24" spans="1:17" ht="14.45" customHeight="1">
      <c r="A24" s="14"/>
      <c r="B24" s="88"/>
      <c r="C24" s="88"/>
      <c r="D24" s="82"/>
      <c r="E24" s="82"/>
      <c r="F24" s="86"/>
      <c r="G24" s="86"/>
      <c r="H24" s="11"/>
      <c r="I24" s="41"/>
      <c r="J24" s="83"/>
      <c r="K24" s="11"/>
      <c r="L24" s="86"/>
      <c r="M24" s="87"/>
      <c r="N24" s="17"/>
      <c r="O24" s="80"/>
      <c r="P24" s="80"/>
      <c r="Q24" s="39"/>
    </row>
    <row r="25" spans="1:17" ht="14.45" customHeight="1">
      <c r="A25" s="16" t="s">
        <v>26</v>
      </c>
      <c r="B25" s="86"/>
      <c r="C25" s="86"/>
      <c r="D25" s="86"/>
      <c r="E25" s="86"/>
      <c r="F25" s="86"/>
      <c r="G25" s="86"/>
      <c r="H25" s="11"/>
      <c r="I25" s="41"/>
      <c r="J25" s="83"/>
      <c r="K25" s="11"/>
      <c r="L25" s="86"/>
      <c r="M25" s="87">
        <f>M16+M31</f>
        <v>46.678404504906652</v>
      </c>
      <c r="N25" s="17" t="s">
        <v>16</v>
      </c>
      <c r="O25" s="80"/>
      <c r="P25" s="80"/>
      <c r="Q25" s="39"/>
    </row>
    <row r="26" spans="1:17" ht="14.45" customHeight="1">
      <c r="A26" s="14" t="s">
        <v>19</v>
      </c>
      <c r="B26" s="86"/>
      <c r="C26" s="86"/>
      <c r="D26" s="86"/>
      <c r="E26" s="86"/>
      <c r="F26" s="86"/>
      <c r="G26" s="86"/>
      <c r="H26" s="11"/>
      <c r="I26" s="41"/>
      <c r="J26" s="83"/>
      <c r="K26" s="11"/>
      <c r="L26" s="86"/>
      <c r="M26" s="89"/>
      <c r="N26" s="20"/>
      <c r="O26" s="80"/>
      <c r="P26" s="80"/>
      <c r="Q26" s="39"/>
    </row>
    <row r="27" spans="1:17" ht="14.45" customHeight="1">
      <c r="A27" s="14"/>
      <c r="B27" s="90" t="s">
        <v>27</v>
      </c>
      <c r="C27" s="83"/>
      <c r="D27" s="83"/>
      <c r="E27" s="83"/>
      <c r="F27" s="100">
        <v>3.6</v>
      </c>
      <c r="G27" s="100"/>
      <c r="H27" s="11"/>
      <c r="I27" s="41"/>
      <c r="J27" s="83"/>
      <c r="K27" s="11"/>
      <c r="L27" s="86"/>
      <c r="M27" s="89"/>
      <c r="N27" s="20"/>
      <c r="O27" s="80"/>
      <c r="P27" s="80"/>
      <c r="Q27" s="39"/>
    </row>
    <row r="28" spans="1:17" ht="14.45" customHeight="1">
      <c r="A28" s="14"/>
      <c r="B28" s="90" t="s">
        <v>28</v>
      </c>
      <c r="C28" s="83"/>
      <c r="D28" s="83"/>
      <c r="E28" s="83"/>
      <c r="F28" s="100">
        <v>1</v>
      </c>
      <c r="G28" s="101"/>
      <c r="H28" s="11"/>
      <c r="I28" s="41"/>
      <c r="J28" s="83"/>
      <c r="K28" s="11"/>
      <c r="L28" s="86"/>
      <c r="M28" s="89"/>
      <c r="N28" s="20"/>
      <c r="O28" s="80"/>
      <c r="P28" s="80"/>
      <c r="Q28" s="39"/>
    </row>
    <row r="29" spans="1:17" ht="14.45" customHeight="1">
      <c r="A29" s="14"/>
      <c r="B29" s="90" t="s">
        <v>29</v>
      </c>
      <c r="C29" s="83"/>
      <c r="D29" s="83"/>
      <c r="E29" s="83"/>
      <c r="F29" s="100">
        <f>F27*F28</f>
        <v>3.6</v>
      </c>
      <c r="G29" s="101"/>
      <c r="H29" s="11"/>
      <c r="I29" s="41"/>
      <c r="J29" s="83"/>
      <c r="K29" s="11"/>
      <c r="L29" s="86"/>
      <c r="M29" s="89"/>
      <c r="N29" s="20"/>
      <c r="O29" s="80"/>
      <c r="P29" s="80"/>
      <c r="Q29" s="39"/>
    </row>
    <row r="30" spans="1:17" ht="17.100000000000001" customHeight="1">
      <c r="A30" s="14"/>
      <c r="B30" s="90" t="s">
        <v>30</v>
      </c>
      <c r="C30" s="83"/>
      <c r="D30" s="83"/>
      <c r="E30" s="83"/>
      <c r="F30" s="95">
        <v>1</v>
      </c>
      <c r="G30" s="96"/>
      <c r="H30" s="11"/>
      <c r="I30" s="41"/>
      <c r="J30" s="83"/>
      <c r="K30" s="11"/>
      <c r="L30" s="86"/>
      <c r="M30" s="89"/>
      <c r="N30" s="20"/>
      <c r="O30" s="80"/>
      <c r="P30" s="80"/>
      <c r="Q30" s="39"/>
    </row>
    <row r="31" spans="1:17" ht="17.100000000000001" customHeight="1">
      <c r="A31" s="14"/>
      <c r="B31" s="90" t="s">
        <v>23</v>
      </c>
      <c r="C31" s="86"/>
      <c r="D31" s="86"/>
      <c r="E31" s="86"/>
      <c r="F31" s="86"/>
      <c r="G31" s="86"/>
      <c r="H31" s="11"/>
      <c r="I31" s="41"/>
      <c r="J31" s="83"/>
      <c r="K31" s="11"/>
      <c r="L31" s="86"/>
      <c r="M31" s="102">
        <f>M11/($F$33*$F$29*$F$30*(19.6^0.5))^2</f>
        <v>6.1447865075039133E-5</v>
      </c>
      <c r="N31" s="12" t="s">
        <v>16</v>
      </c>
      <c r="O31" s="80"/>
      <c r="P31" s="80"/>
      <c r="Q31" s="39"/>
    </row>
    <row r="32" spans="1:17" ht="17.100000000000001" customHeight="1">
      <c r="A32" s="14"/>
      <c r="B32" s="81" t="s">
        <v>24</v>
      </c>
      <c r="C32" s="86"/>
      <c r="D32" s="86"/>
      <c r="E32" s="86"/>
      <c r="F32" s="86"/>
      <c r="G32" s="86"/>
      <c r="H32" s="11"/>
      <c r="I32" s="41"/>
      <c r="J32" s="83"/>
      <c r="K32" s="11"/>
      <c r="L32" s="86"/>
      <c r="M32" s="89"/>
      <c r="N32" s="20"/>
      <c r="O32" s="80"/>
      <c r="P32" s="80"/>
      <c r="Q32" s="39"/>
    </row>
    <row r="33" spans="1:17" ht="17.100000000000001" customHeight="1">
      <c r="A33" s="14"/>
      <c r="B33" s="97" t="s">
        <v>25</v>
      </c>
      <c r="C33" s="83"/>
      <c r="D33" s="83"/>
      <c r="E33" s="83"/>
      <c r="F33" s="98">
        <v>0.62</v>
      </c>
      <c r="G33" s="99"/>
      <c r="H33" s="11"/>
      <c r="I33" s="41"/>
      <c r="J33" s="83"/>
      <c r="K33" s="11"/>
      <c r="L33" s="86"/>
      <c r="M33" s="89"/>
      <c r="N33" s="20"/>
      <c r="O33" s="80"/>
      <c r="P33" s="80"/>
      <c r="Q33" s="39"/>
    </row>
    <row r="34" spans="1:17" ht="17.100000000000001" customHeight="1">
      <c r="A34" s="14"/>
      <c r="B34" s="97"/>
      <c r="C34" s="83"/>
      <c r="D34" s="83"/>
      <c r="E34" s="83"/>
      <c r="F34" s="103"/>
      <c r="G34" s="104"/>
      <c r="H34" s="11"/>
      <c r="I34" s="41"/>
      <c r="J34" s="83"/>
      <c r="K34" s="11"/>
      <c r="L34" s="86"/>
      <c r="M34" s="89"/>
      <c r="N34" s="20"/>
      <c r="O34" s="80"/>
      <c r="P34" s="80"/>
      <c r="Q34" s="39"/>
    </row>
    <row r="35" spans="1:17" ht="17.100000000000001" customHeight="1">
      <c r="A35" s="16" t="s">
        <v>31</v>
      </c>
      <c r="B35" s="105"/>
      <c r="C35" s="105"/>
      <c r="D35" s="105"/>
      <c r="E35" s="105"/>
      <c r="F35" s="105"/>
      <c r="G35" s="105"/>
      <c r="H35" s="21"/>
      <c r="I35" s="42"/>
      <c r="J35" s="106"/>
      <c r="K35" s="21"/>
      <c r="L35" s="105"/>
      <c r="M35" s="87">
        <f>F39+M40</f>
        <v>45.254361683428201</v>
      </c>
      <c r="N35" s="17" t="s">
        <v>16</v>
      </c>
      <c r="O35" s="80"/>
      <c r="P35" s="80"/>
      <c r="Q35" s="39"/>
    </row>
    <row r="36" spans="1:17" ht="17.100000000000001" customHeight="1">
      <c r="A36" s="14"/>
      <c r="B36" s="107" t="s">
        <v>32</v>
      </c>
      <c r="C36" s="81"/>
      <c r="D36" s="81"/>
      <c r="E36" s="108"/>
      <c r="F36" s="109">
        <v>3.6</v>
      </c>
      <c r="G36" s="109"/>
      <c r="H36" s="11"/>
      <c r="I36" s="41"/>
      <c r="J36" s="83"/>
      <c r="K36" s="11"/>
      <c r="L36" s="81"/>
      <c r="M36" s="110"/>
      <c r="N36" s="13"/>
      <c r="O36" s="80"/>
      <c r="P36" s="80"/>
      <c r="Q36" s="39"/>
    </row>
    <row r="37" spans="1:17" ht="17.100000000000001" customHeight="1">
      <c r="A37" s="14"/>
      <c r="B37" s="107" t="s">
        <v>33</v>
      </c>
      <c r="C37" s="81"/>
      <c r="D37" s="81"/>
      <c r="E37" s="108"/>
      <c r="F37" s="109">
        <v>1</v>
      </c>
      <c r="G37" s="109"/>
      <c r="H37" s="11"/>
      <c r="I37" s="41"/>
      <c r="J37" s="83"/>
      <c r="K37" s="11"/>
      <c r="L37" s="81"/>
      <c r="M37" s="110"/>
      <c r="N37" s="13"/>
      <c r="O37" s="80"/>
      <c r="P37" s="80"/>
      <c r="Q37" s="39"/>
    </row>
    <row r="38" spans="1:17" ht="17.100000000000001" customHeight="1">
      <c r="A38" s="14"/>
      <c r="B38" s="107" t="s">
        <v>34</v>
      </c>
      <c r="C38" s="81"/>
      <c r="D38" s="81"/>
      <c r="E38" s="108"/>
      <c r="F38" s="109">
        <f>F36*F37</f>
        <v>3.6</v>
      </c>
      <c r="G38" s="109"/>
      <c r="H38" s="11"/>
      <c r="I38" s="41"/>
      <c r="J38" s="83"/>
      <c r="K38" s="11"/>
      <c r="L38" s="81"/>
      <c r="M38" s="110"/>
      <c r="N38" s="13"/>
      <c r="O38" s="80"/>
      <c r="P38" s="80"/>
      <c r="Q38" s="39"/>
    </row>
    <row r="39" spans="1:17" ht="17.100000000000001" customHeight="1">
      <c r="A39" s="10"/>
      <c r="B39" s="107" t="s">
        <v>35</v>
      </c>
      <c r="C39" s="81"/>
      <c r="D39" s="81"/>
      <c r="E39" s="108"/>
      <c r="F39" s="111">
        <f>42.1+3.145</f>
        <v>45.245000000000005</v>
      </c>
      <c r="G39" s="111"/>
      <c r="H39" s="22"/>
      <c r="I39" s="43"/>
      <c r="J39" s="112"/>
      <c r="K39" s="22"/>
      <c r="L39" s="83"/>
      <c r="M39" s="113"/>
      <c r="N39" s="23"/>
      <c r="O39" s="80"/>
      <c r="P39" s="80"/>
      <c r="Q39" s="39"/>
    </row>
    <row r="40" spans="1:17" ht="17.100000000000001" customHeight="1">
      <c r="A40" s="14"/>
      <c r="B40" s="90" t="s">
        <v>36</v>
      </c>
      <c r="C40" s="81"/>
      <c r="D40" s="81"/>
      <c r="E40" s="108"/>
      <c r="F40" s="103"/>
      <c r="G40" s="103"/>
      <c r="H40" s="11"/>
      <c r="I40" s="41"/>
      <c r="J40" s="83"/>
      <c r="K40" s="11"/>
      <c r="L40" s="81"/>
      <c r="M40" s="110">
        <f>(M11/1.84/$F$38)^(2/3)</f>
        <v>9.3616834281949769E-3</v>
      </c>
      <c r="N40" s="19" t="s">
        <v>16</v>
      </c>
      <c r="O40" s="80"/>
      <c r="P40" s="80"/>
      <c r="Q40" s="39"/>
    </row>
    <row r="41" spans="1:17" ht="17.100000000000001" customHeight="1">
      <c r="A41" s="14"/>
      <c r="B41" s="81" t="s">
        <v>37</v>
      </c>
      <c r="C41" s="81"/>
      <c r="D41" s="81"/>
      <c r="E41" s="108"/>
      <c r="F41" s="103"/>
      <c r="G41" s="103"/>
      <c r="H41" s="11"/>
      <c r="I41" s="41"/>
      <c r="J41" s="83"/>
      <c r="K41" s="11"/>
      <c r="L41" s="81"/>
      <c r="M41" s="110"/>
      <c r="N41" s="13"/>
      <c r="O41" s="80"/>
      <c r="P41" s="80"/>
      <c r="Q41" s="39"/>
    </row>
    <row r="42" spans="1:17" ht="17.100000000000001" customHeight="1">
      <c r="A42" s="14"/>
      <c r="B42" s="81"/>
      <c r="C42" s="81"/>
      <c r="D42" s="81"/>
      <c r="E42" s="108"/>
      <c r="F42" s="103"/>
      <c r="G42" s="103"/>
      <c r="H42" s="11"/>
      <c r="I42" s="41"/>
      <c r="J42" s="83"/>
      <c r="K42" s="11"/>
      <c r="L42" s="81"/>
      <c r="M42" s="110"/>
      <c r="N42" s="13"/>
      <c r="O42" s="80"/>
      <c r="P42" s="80"/>
      <c r="Q42" s="39"/>
    </row>
    <row r="43" spans="1:17" ht="17.100000000000001" customHeight="1">
      <c r="A43" s="16" t="s">
        <v>38</v>
      </c>
      <c r="B43" s="105"/>
      <c r="C43" s="105"/>
      <c r="D43" s="105"/>
      <c r="E43" s="105"/>
      <c r="F43" s="105"/>
      <c r="G43" s="105"/>
      <c r="H43" s="21"/>
      <c r="I43" s="42"/>
      <c r="J43" s="106"/>
      <c r="K43" s="21"/>
      <c r="L43" s="105"/>
      <c r="M43" s="87">
        <f>M35+M49</f>
        <v>45.257547140753694</v>
      </c>
      <c r="N43" s="17" t="s">
        <v>16</v>
      </c>
      <c r="O43" s="80"/>
      <c r="P43" s="80"/>
      <c r="Q43" s="39"/>
    </row>
    <row r="44" spans="1:17" ht="17.100000000000001" customHeight="1">
      <c r="A44" s="14" t="s">
        <v>19</v>
      </c>
      <c r="B44" s="86"/>
      <c r="C44" s="86"/>
      <c r="D44" s="86"/>
      <c r="E44" s="86"/>
      <c r="F44" s="86"/>
      <c r="G44" s="86"/>
      <c r="H44" s="11"/>
      <c r="I44" s="41"/>
      <c r="J44" s="83"/>
      <c r="K44" s="11"/>
      <c r="L44" s="81"/>
      <c r="M44" s="110"/>
      <c r="N44" s="13"/>
      <c r="O44" s="80"/>
      <c r="P44" s="80"/>
      <c r="Q44" s="39"/>
    </row>
    <row r="45" spans="1:17" ht="17.100000000000001" customHeight="1">
      <c r="A45" s="14"/>
      <c r="B45" s="90" t="s">
        <v>27</v>
      </c>
      <c r="C45" s="83"/>
      <c r="D45" s="83"/>
      <c r="E45" s="83"/>
      <c r="F45" s="100">
        <v>1</v>
      </c>
      <c r="G45" s="100"/>
      <c r="H45" s="11"/>
      <c r="I45" s="41"/>
      <c r="J45" s="83"/>
      <c r="K45" s="11"/>
      <c r="L45" s="81"/>
      <c r="M45" s="110"/>
      <c r="N45" s="13"/>
      <c r="O45" s="80"/>
      <c r="P45" s="80"/>
      <c r="Q45" s="39"/>
    </row>
    <row r="46" spans="1:17" ht="17.100000000000001" customHeight="1">
      <c r="A46" s="14"/>
      <c r="B46" s="90" t="s">
        <v>28</v>
      </c>
      <c r="C46" s="83"/>
      <c r="D46" s="83"/>
      <c r="E46" s="83"/>
      <c r="F46" s="100">
        <v>0.5</v>
      </c>
      <c r="G46" s="100"/>
      <c r="H46" s="11"/>
      <c r="I46" s="41"/>
      <c r="J46" s="83"/>
      <c r="K46" s="11"/>
      <c r="L46" s="81"/>
      <c r="M46" s="110"/>
      <c r="N46" s="13"/>
      <c r="O46" s="80"/>
      <c r="P46" s="80"/>
      <c r="Q46" s="39"/>
    </row>
    <row r="47" spans="1:17" ht="17.100000000000001" customHeight="1">
      <c r="A47" s="14"/>
      <c r="B47" s="90" t="s">
        <v>29</v>
      </c>
      <c r="C47" s="83"/>
      <c r="D47" s="83"/>
      <c r="E47" s="83"/>
      <c r="F47" s="100">
        <f>F45*F46</f>
        <v>0.5</v>
      </c>
      <c r="G47" s="100"/>
      <c r="H47" s="11"/>
      <c r="I47" s="41"/>
      <c r="J47" s="83"/>
      <c r="K47" s="11"/>
      <c r="L47" s="83"/>
      <c r="M47" s="113"/>
      <c r="N47" s="23"/>
      <c r="O47" s="80"/>
      <c r="P47" s="80"/>
      <c r="Q47" s="39"/>
    </row>
    <row r="48" spans="1:17" ht="17.100000000000001" customHeight="1">
      <c r="A48" s="14"/>
      <c r="B48" s="90" t="s">
        <v>30</v>
      </c>
      <c r="C48" s="83"/>
      <c r="D48" s="83"/>
      <c r="E48" s="83"/>
      <c r="F48" s="95">
        <v>1</v>
      </c>
      <c r="G48" s="95"/>
      <c r="H48" s="11"/>
      <c r="I48" s="41"/>
      <c r="J48" s="83"/>
      <c r="K48" s="11"/>
      <c r="L48" s="81"/>
      <c r="M48" s="110"/>
      <c r="N48" s="19"/>
      <c r="O48" s="80"/>
      <c r="P48" s="80"/>
      <c r="Q48" s="39"/>
    </row>
    <row r="49" spans="1:17" ht="17.100000000000001" customHeight="1">
      <c r="A49" s="14"/>
      <c r="B49" s="90" t="s">
        <v>23</v>
      </c>
      <c r="C49" s="86"/>
      <c r="D49" s="86"/>
      <c r="E49" s="86"/>
      <c r="F49" s="86"/>
      <c r="G49" s="86"/>
      <c r="H49" s="11"/>
      <c r="I49" s="41"/>
      <c r="J49" s="83"/>
      <c r="K49" s="11"/>
      <c r="L49" s="81"/>
      <c r="M49" s="114">
        <f>$M$11/($F$51*$F$47*$F$48*(19.6^0.5))^2</f>
        <v>3.1854573254900299E-3</v>
      </c>
      <c r="N49" s="19" t="s">
        <v>16</v>
      </c>
      <c r="O49" s="80"/>
      <c r="P49" s="80"/>
      <c r="Q49" s="39"/>
    </row>
    <row r="50" spans="1:17" ht="17.100000000000001" customHeight="1">
      <c r="A50" s="14"/>
      <c r="B50" s="81" t="s">
        <v>24</v>
      </c>
      <c r="C50" s="86"/>
      <c r="D50" s="86"/>
      <c r="E50" s="86"/>
      <c r="F50" s="86"/>
      <c r="G50" s="86"/>
      <c r="H50" s="11"/>
      <c r="I50" s="41"/>
      <c r="J50" s="83"/>
      <c r="K50" s="11"/>
      <c r="L50" s="81"/>
      <c r="M50" s="110"/>
      <c r="N50" s="13"/>
      <c r="O50" s="80"/>
      <c r="P50" s="80"/>
      <c r="Q50" s="39"/>
    </row>
    <row r="51" spans="1:17" ht="17.100000000000001" customHeight="1">
      <c r="A51" s="14"/>
      <c r="B51" s="97" t="s">
        <v>25</v>
      </c>
      <c r="C51" s="83"/>
      <c r="D51" s="83"/>
      <c r="E51" s="83"/>
      <c r="F51" s="98">
        <v>0.62</v>
      </c>
      <c r="G51" s="98"/>
      <c r="H51" s="11"/>
      <c r="I51" s="41"/>
      <c r="J51" s="83"/>
      <c r="K51" s="11"/>
      <c r="L51" s="81"/>
      <c r="M51" s="110"/>
      <c r="N51" s="13"/>
      <c r="O51" s="80"/>
      <c r="P51" s="80"/>
      <c r="Q51" s="39"/>
    </row>
    <row r="52" spans="1:17" ht="17.100000000000001" customHeight="1">
      <c r="A52" s="14"/>
      <c r="B52" s="97"/>
      <c r="C52" s="83"/>
      <c r="D52" s="83"/>
      <c r="E52" s="83"/>
      <c r="F52" s="103"/>
      <c r="G52" s="103"/>
      <c r="H52" s="11"/>
      <c r="I52" s="41"/>
      <c r="J52" s="83"/>
      <c r="K52" s="11"/>
      <c r="L52" s="81"/>
      <c r="M52" s="110"/>
      <c r="N52" s="13"/>
      <c r="O52" s="80"/>
      <c r="P52" s="80"/>
      <c r="Q52" s="39"/>
    </row>
    <row r="53" spans="1:17" ht="17.100000000000001" customHeight="1">
      <c r="A53" s="16" t="s">
        <v>71</v>
      </c>
      <c r="B53" s="81"/>
      <c r="C53" s="81"/>
      <c r="D53" s="81"/>
      <c r="E53" s="81"/>
      <c r="F53" s="81"/>
      <c r="G53" s="81"/>
      <c r="H53" s="11"/>
      <c r="I53" s="41"/>
      <c r="J53" s="83"/>
      <c r="K53" s="11"/>
      <c r="L53" s="105"/>
      <c r="M53" s="87">
        <v>39.25</v>
      </c>
      <c r="N53" s="17" t="s">
        <v>16</v>
      </c>
      <c r="O53" s="80"/>
      <c r="P53" s="80"/>
      <c r="Q53" s="39"/>
    </row>
    <row r="54" spans="1:17" ht="17.100000000000001" customHeight="1">
      <c r="A54" s="14"/>
      <c r="B54" s="97"/>
      <c r="C54" s="83"/>
      <c r="D54" s="83"/>
      <c r="E54" s="103"/>
      <c r="F54" s="104"/>
      <c r="G54" s="104"/>
      <c r="H54" s="11"/>
      <c r="I54" s="41"/>
      <c r="J54" s="83"/>
      <c r="K54" s="11"/>
      <c r="L54" s="81"/>
      <c r="M54" s="84"/>
      <c r="N54" s="13"/>
      <c r="O54" s="80"/>
      <c r="P54" s="80"/>
      <c r="Q54" s="39"/>
    </row>
    <row r="55" spans="1:17" ht="17.100000000000001" customHeight="1">
      <c r="A55" s="16" t="s">
        <v>72</v>
      </c>
      <c r="B55" s="81"/>
      <c r="C55" s="81"/>
      <c r="D55" s="81"/>
      <c r="E55" s="81"/>
      <c r="F55" s="81"/>
      <c r="G55" s="81"/>
      <c r="H55" s="11"/>
      <c r="I55" s="41"/>
      <c r="J55" s="83"/>
      <c r="K55" s="11"/>
      <c r="L55" s="105"/>
      <c r="M55" s="87">
        <f>M53+M79</f>
        <v>39.27137989708914</v>
      </c>
      <c r="N55" s="17" t="s">
        <v>16</v>
      </c>
      <c r="O55" s="80"/>
      <c r="P55" s="80"/>
      <c r="Q55" s="39"/>
    </row>
    <row r="56" spans="1:17">
      <c r="A56" s="10" t="s">
        <v>39</v>
      </c>
      <c r="B56" s="81"/>
      <c r="C56" s="81"/>
      <c r="D56" s="81"/>
      <c r="E56" s="81"/>
      <c r="F56" s="81"/>
      <c r="G56" s="81"/>
      <c r="H56" s="11"/>
      <c r="I56" s="41"/>
      <c r="J56" s="83"/>
      <c r="K56" s="11"/>
      <c r="L56" s="81"/>
      <c r="M56" s="84"/>
      <c r="N56" s="13"/>
      <c r="O56" s="80"/>
      <c r="P56" s="80"/>
      <c r="Q56" s="39"/>
    </row>
    <row r="57" spans="1:17" ht="14.45" customHeight="1">
      <c r="A57" s="14" t="s">
        <v>40</v>
      </c>
      <c r="B57" s="81"/>
      <c r="C57" s="81"/>
      <c r="D57" s="83"/>
      <c r="E57" s="83"/>
      <c r="F57" s="103"/>
      <c r="G57" s="104"/>
      <c r="H57" s="11"/>
      <c r="I57" s="41"/>
      <c r="J57" s="83"/>
      <c r="K57" s="11"/>
      <c r="L57" s="81"/>
      <c r="M57" s="84"/>
      <c r="N57" s="13"/>
      <c r="O57" s="80"/>
      <c r="P57" s="80"/>
      <c r="Q57" s="39"/>
    </row>
    <row r="58" spans="1:17" ht="14.45" customHeight="1">
      <c r="A58" s="14"/>
      <c r="B58" s="97" t="s">
        <v>41</v>
      </c>
      <c r="C58" s="83"/>
      <c r="D58" s="83"/>
      <c r="E58" s="83"/>
      <c r="F58" s="100">
        <v>4</v>
      </c>
      <c r="G58" s="100"/>
      <c r="H58" s="11"/>
      <c r="I58" s="41"/>
      <c r="J58" s="83"/>
      <c r="K58" s="11"/>
      <c r="L58" s="81"/>
      <c r="M58" s="84"/>
      <c r="N58" s="13"/>
      <c r="O58" s="80"/>
      <c r="P58" s="80"/>
      <c r="Q58" s="39"/>
    </row>
    <row r="59" spans="1:17" ht="14.45" customHeight="1">
      <c r="A59" s="14"/>
      <c r="B59" s="97" t="s">
        <v>42</v>
      </c>
      <c r="C59" s="83"/>
      <c r="D59" s="83"/>
      <c r="E59" s="83"/>
      <c r="F59" s="100">
        <v>2</v>
      </c>
      <c r="G59" s="100"/>
      <c r="H59" s="11"/>
      <c r="I59" s="41"/>
      <c r="J59" s="83"/>
      <c r="K59" s="11"/>
      <c r="L59" s="81"/>
      <c r="M59" s="84"/>
      <c r="N59" s="13"/>
      <c r="O59" s="80"/>
      <c r="P59" s="80"/>
      <c r="Q59" s="39"/>
    </row>
    <row r="60" spans="1:17" ht="14.45" customHeight="1">
      <c r="A60" s="14"/>
      <c r="B60" s="97" t="s">
        <v>43</v>
      </c>
      <c r="C60" s="83"/>
      <c r="D60" s="83"/>
      <c r="E60" s="83"/>
      <c r="F60" s="93">
        <v>0.83</v>
      </c>
      <c r="G60" s="93"/>
      <c r="H60" s="11"/>
      <c r="I60" s="41"/>
      <c r="J60" s="83"/>
      <c r="K60" s="11"/>
      <c r="L60" s="81"/>
      <c r="M60" s="84"/>
      <c r="N60" s="13"/>
      <c r="O60" s="80"/>
      <c r="P60" s="80"/>
      <c r="Q60" s="39"/>
    </row>
    <row r="61" spans="1:17" ht="14.45" customHeight="1">
      <c r="A61" s="33"/>
      <c r="B61" s="115" t="s">
        <v>44</v>
      </c>
      <c r="C61" s="34"/>
      <c r="D61" s="34"/>
      <c r="E61" s="34"/>
      <c r="F61" s="116">
        <v>200</v>
      </c>
      <c r="G61" s="116"/>
      <c r="H61" s="26"/>
      <c r="I61" s="44"/>
      <c r="J61" s="34"/>
      <c r="K61" s="26"/>
      <c r="L61" s="25"/>
      <c r="M61" s="117"/>
      <c r="N61" s="118"/>
      <c r="O61" s="119"/>
      <c r="P61" s="119"/>
      <c r="Q61" s="120"/>
    </row>
    <row r="62" spans="1:17" ht="14.45" customHeight="1">
      <c r="A62" s="35"/>
      <c r="B62" s="121" t="s">
        <v>45</v>
      </c>
      <c r="C62" s="36"/>
      <c r="D62" s="36"/>
      <c r="E62" s="36"/>
      <c r="F62" s="75">
        <v>400</v>
      </c>
      <c r="G62" s="75"/>
      <c r="H62" s="37"/>
      <c r="I62" s="45"/>
      <c r="J62" s="36"/>
      <c r="K62" s="37"/>
      <c r="L62" s="38"/>
      <c r="M62" s="122"/>
      <c r="N62" s="123"/>
      <c r="O62" s="124"/>
      <c r="P62" s="124"/>
      <c r="Q62" s="125"/>
    </row>
    <row r="63" spans="1:17" ht="14.45" customHeight="1">
      <c r="A63" s="14"/>
      <c r="B63" s="97" t="s">
        <v>46</v>
      </c>
      <c r="C63" s="83"/>
      <c r="D63" s="83"/>
      <c r="E63" s="83"/>
      <c r="F63" s="100"/>
      <c r="G63" s="100"/>
      <c r="H63" s="11"/>
      <c r="I63" s="41"/>
      <c r="J63" s="83"/>
      <c r="K63" s="11"/>
      <c r="L63" s="83"/>
      <c r="M63" s="126">
        <f>(M5/$F$58/$F$59/$F$60/3600)/(3.14*($F$62/1000)^2/4*$F$66)</f>
        <v>0.34672927378303015</v>
      </c>
      <c r="N63" s="23" t="s">
        <v>47</v>
      </c>
      <c r="O63" s="80"/>
      <c r="P63" s="80"/>
      <c r="Q63" s="39"/>
    </row>
    <row r="64" spans="1:17" ht="14.45" customHeight="1">
      <c r="A64" s="14"/>
      <c r="B64" s="97" t="s">
        <v>48</v>
      </c>
      <c r="C64" s="83"/>
      <c r="D64" s="83"/>
      <c r="E64" s="83"/>
      <c r="F64" s="95">
        <v>2</v>
      </c>
      <c r="G64" s="95"/>
      <c r="H64" s="11" t="s">
        <v>33</v>
      </c>
      <c r="I64" s="41"/>
      <c r="J64" s="83"/>
      <c r="K64" s="11"/>
      <c r="L64" s="81"/>
      <c r="M64" s="84"/>
      <c r="N64" s="13"/>
      <c r="O64" s="80"/>
      <c r="P64" s="80"/>
      <c r="Q64" s="39"/>
    </row>
    <row r="65" spans="1:17" ht="14.45" customHeight="1">
      <c r="A65" s="14"/>
      <c r="B65" s="97" t="s">
        <v>49</v>
      </c>
      <c r="C65" s="83"/>
      <c r="D65" s="83"/>
      <c r="E65" s="83"/>
      <c r="F65" s="95">
        <v>200</v>
      </c>
      <c r="G65" s="95"/>
      <c r="H65" s="11"/>
      <c r="I65" s="41"/>
      <c r="J65" s="83"/>
      <c r="K65" s="11"/>
      <c r="L65" s="81"/>
      <c r="M65" s="84"/>
      <c r="N65" s="13"/>
      <c r="O65" s="80"/>
      <c r="P65" s="80"/>
      <c r="Q65" s="39"/>
    </row>
    <row r="66" spans="1:17" ht="14.45" customHeight="1">
      <c r="A66" s="14"/>
      <c r="B66" s="97" t="s">
        <v>50</v>
      </c>
      <c r="C66" s="83"/>
      <c r="D66" s="83"/>
      <c r="E66" s="83"/>
      <c r="F66" s="95">
        <v>1</v>
      </c>
      <c r="G66" s="95"/>
      <c r="H66" s="11" t="s">
        <v>33</v>
      </c>
      <c r="I66" s="41"/>
      <c r="J66" s="83"/>
      <c r="K66" s="11"/>
      <c r="L66" s="81"/>
      <c r="M66" s="84"/>
      <c r="N66" s="13"/>
      <c r="O66" s="80"/>
      <c r="P66" s="80"/>
      <c r="Q66" s="39"/>
    </row>
    <row r="67" spans="1:17" ht="14.45" customHeight="1">
      <c r="A67" s="14"/>
      <c r="B67" s="97"/>
      <c r="C67" s="83"/>
      <c r="D67" s="83"/>
      <c r="E67" s="83"/>
      <c r="F67" s="103"/>
      <c r="G67" s="104"/>
      <c r="H67" s="11"/>
      <c r="I67" s="41"/>
      <c r="J67" s="83"/>
      <c r="K67" s="11"/>
      <c r="L67" s="81"/>
      <c r="M67" s="84"/>
      <c r="N67" s="13"/>
      <c r="O67" s="80"/>
      <c r="P67" s="80"/>
      <c r="Q67" s="39"/>
    </row>
    <row r="68" spans="1:17" ht="14.45" customHeight="1">
      <c r="A68" s="14"/>
      <c r="B68" s="97" t="s">
        <v>51</v>
      </c>
      <c r="C68" s="83"/>
      <c r="D68" s="83"/>
      <c r="E68" s="83"/>
      <c r="F68" s="103"/>
      <c r="G68" s="104"/>
      <c r="H68" s="11"/>
      <c r="I68" s="41"/>
      <c r="J68" s="83"/>
      <c r="K68" s="11"/>
      <c r="L68" s="81"/>
      <c r="M68" s="82">
        <f>$E$82*(M63^2/(2*9.8))</f>
        <v>6.1337341478626259E-3</v>
      </c>
      <c r="N68" s="12" t="s">
        <v>16</v>
      </c>
      <c r="O68" s="80"/>
      <c r="P68" s="80"/>
      <c r="Q68" s="39"/>
    </row>
    <row r="69" spans="1:17" ht="14.45" customHeight="1">
      <c r="A69" s="14"/>
      <c r="B69" s="90" t="s">
        <v>52</v>
      </c>
      <c r="C69" s="83"/>
      <c r="D69" s="83"/>
      <c r="E69" s="83"/>
      <c r="F69" s="103"/>
      <c r="G69" s="104"/>
      <c r="H69" s="11"/>
      <c r="I69" s="41"/>
      <c r="J69" s="83"/>
      <c r="K69" s="11"/>
      <c r="L69" s="81"/>
      <c r="M69" s="84"/>
      <c r="N69" s="13"/>
      <c r="O69" s="80"/>
      <c r="P69" s="80"/>
      <c r="Q69" s="39"/>
    </row>
    <row r="70" spans="1:17" ht="14.45" customHeight="1">
      <c r="A70" s="14"/>
      <c r="B70" s="97" t="s">
        <v>53</v>
      </c>
      <c r="C70" s="83"/>
      <c r="D70" s="83"/>
      <c r="E70" s="83"/>
      <c r="F70" s="103"/>
      <c r="G70" s="104"/>
      <c r="H70" s="11"/>
      <c r="I70" s="41"/>
      <c r="J70" s="83"/>
      <c r="K70" s="11"/>
      <c r="L70" s="81"/>
      <c r="M70" s="82">
        <f>$E$81*($M$63^2/(2*9.8))</f>
        <v>3.0668670739313129E-3</v>
      </c>
      <c r="N70" s="12" t="s">
        <v>16</v>
      </c>
      <c r="O70" s="80"/>
      <c r="P70" s="80"/>
      <c r="Q70" s="39"/>
    </row>
    <row r="71" spans="1:17" ht="14.45" customHeight="1">
      <c r="A71" s="14"/>
      <c r="B71" s="90" t="s">
        <v>54</v>
      </c>
      <c r="C71" s="83"/>
      <c r="D71" s="83"/>
      <c r="E71" s="83"/>
      <c r="F71" s="103"/>
      <c r="G71" s="104"/>
      <c r="H71" s="11"/>
      <c r="I71" s="41"/>
      <c r="J71" s="83"/>
      <c r="K71" s="11"/>
      <c r="L71" s="81"/>
      <c r="M71" s="84"/>
      <c r="N71" s="13"/>
      <c r="O71" s="80"/>
      <c r="P71" s="80"/>
      <c r="Q71" s="39"/>
    </row>
    <row r="72" spans="1:17" ht="14.45" customHeight="1">
      <c r="A72" s="14"/>
      <c r="B72" s="97" t="s">
        <v>55</v>
      </c>
      <c r="C72" s="83"/>
      <c r="D72" s="83"/>
      <c r="E72" s="83"/>
      <c r="F72" s="103"/>
      <c r="G72" s="104"/>
      <c r="H72" s="11"/>
      <c r="I72" s="41"/>
      <c r="J72" s="83"/>
      <c r="K72" s="11"/>
      <c r="L72" s="81"/>
      <c r="M72" s="82">
        <f>$E$83*($M$63^2/(2*9.8))*F64</f>
        <v>1.8401202443587878E-3</v>
      </c>
      <c r="N72" s="12" t="s">
        <v>16</v>
      </c>
      <c r="O72" s="80"/>
      <c r="P72" s="80"/>
      <c r="Q72" s="39"/>
    </row>
    <row r="73" spans="1:17" ht="14.45" customHeight="1">
      <c r="A73" s="14"/>
      <c r="B73" s="90" t="s">
        <v>56</v>
      </c>
      <c r="C73" s="83"/>
      <c r="D73" s="83"/>
      <c r="E73" s="83"/>
      <c r="F73" s="103"/>
      <c r="G73" s="104"/>
      <c r="H73" s="11"/>
      <c r="I73" s="41"/>
      <c r="J73" s="83"/>
      <c r="K73" s="11"/>
      <c r="L73" s="81"/>
      <c r="M73" s="84"/>
      <c r="N73" s="13"/>
      <c r="O73" s="80"/>
      <c r="P73" s="80"/>
      <c r="Q73" s="39"/>
    </row>
    <row r="74" spans="1:17" ht="14.45" customHeight="1">
      <c r="A74" s="14"/>
      <c r="B74" s="97" t="s">
        <v>57</v>
      </c>
      <c r="C74" s="83"/>
      <c r="D74" s="83"/>
      <c r="E74" s="83"/>
      <c r="F74" s="103"/>
      <c r="G74" s="104"/>
      <c r="H74" s="11"/>
      <c r="I74" s="41"/>
      <c r="J74" s="83"/>
      <c r="K74" s="11"/>
      <c r="L74" s="81"/>
      <c r="M74" s="84"/>
      <c r="N74" s="13"/>
      <c r="O74" s="80"/>
      <c r="P74" s="80"/>
      <c r="Q74" s="39"/>
    </row>
    <row r="75" spans="1:17" ht="14.45" customHeight="1">
      <c r="A75" s="14"/>
      <c r="B75" s="90" t="s">
        <v>58</v>
      </c>
      <c r="C75" s="83"/>
      <c r="D75" s="83"/>
      <c r="E75" s="83"/>
      <c r="F75" s="103"/>
      <c r="G75" s="104"/>
      <c r="H75" s="11"/>
      <c r="I75" s="41"/>
      <c r="J75" s="83"/>
      <c r="K75" s="11"/>
      <c r="L75" s="81"/>
      <c r="M75" s="82">
        <f>$F$76*(M63^2/(2*9.8))</f>
        <v>7.8856819638458871E-3</v>
      </c>
      <c r="N75" s="12" t="s">
        <v>16</v>
      </c>
      <c r="O75" s="80"/>
      <c r="P75" s="80"/>
      <c r="Q75" s="39"/>
    </row>
    <row r="76" spans="1:17" ht="14.45" customHeight="1">
      <c r="A76" s="14"/>
      <c r="B76" s="90" t="s">
        <v>59</v>
      </c>
      <c r="C76" s="83"/>
      <c r="D76" s="83"/>
      <c r="E76" s="83"/>
      <c r="F76" s="93">
        <f>(0.04+1/(F62))*12.1/(F62/1000)</f>
        <v>1.2856249999999998</v>
      </c>
      <c r="G76" s="93"/>
      <c r="H76" s="11"/>
      <c r="I76" s="41"/>
      <c r="J76" s="83"/>
      <c r="K76" s="11"/>
      <c r="L76" s="81"/>
      <c r="M76" s="82"/>
      <c r="N76" s="12"/>
      <c r="O76" s="80"/>
      <c r="P76" s="80"/>
      <c r="Q76" s="39"/>
    </row>
    <row r="77" spans="1:17" ht="14.45" customHeight="1">
      <c r="A77" s="14"/>
      <c r="B77" s="97" t="s">
        <v>60</v>
      </c>
      <c r="C77" s="83"/>
      <c r="D77" s="83"/>
      <c r="E77" s="83"/>
      <c r="F77" s="103"/>
      <c r="G77" s="104"/>
      <c r="H77" s="11"/>
      <c r="I77" s="41"/>
      <c r="J77" s="83"/>
      <c r="K77" s="11"/>
      <c r="L77" s="81"/>
      <c r="M77" s="84"/>
      <c r="N77" s="13"/>
      <c r="O77" s="80"/>
      <c r="P77" s="80"/>
      <c r="Q77" s="39"/>
    </row>
    <row r="78" spans="1:17" ht="14.45" customHeight="1">
      <c r="A78" s="14"/>
      <c r="B78" s="90" t="s">
        <v>61</v>
      </c>
      <c r="C78" s="83"/>
      <c r="D78" s="83"/>
      <c r="E78" s="83"/>
      <c r="F78" s="103"/>
      <c r="G78" s="104"/>
      <c r="H78" s="11"/>
      <c r="I78" s="41"/>
      <c r="J78" s="83"/>
      <c r="K78" s="11"/>
      <c r="L78" s="81"/>
      <c r="M78" s="82">
        <f>$E$84*(M63^2/(2*9.8))</f>
        <v>2.4534936591450503E-3</v>
      </c>
      <c r="N78" s="12" t="s">
        <v>16</v>
      </c>
      <c r="O78" s="80"/>
      <c r="P78" s="80"/>
      <c r="Q78" s="39"/>
    </row>
    <row r="79" spans="1:17" ht="14.45" customHeight="1">
      <c r="A79" s="14"/>
      <c r="B79" s="97" t="s">
        <v>75</v>
      </c>
      <c r="C79" s="83"/>
      <c r="D79" s="83"/>
      <c r="E79" s="83"/>
      <c r="F79" s="103"/>
      <c r="G79" s="104"/>
      <c r="H79" s="11"/>
      <c r="I79" s="41"/>
      <c r="J79" s="83"/>
      <c r="K79" s="11"/>
      <c r="L79" s="81"/>
      <c r="M79" s="84">
        <f>M68+M70+M72+M75+M78</f>
        <v>2.1379897089143667E-2</v>
      </c>
      <c r="N79" s="13" t="s">
        <v>67</v>
      </c>
      <c r="O79" s="80"/>
      <c r="P79" s="80"/>
      <c r="Q79" s="39"/>
    </row>
    <row r="80" spans="1:17" ht="14.45" customHeight="1">
      <c r="A80" s="14"/>
      <c r="B80" s="97"/>
      <c r="C80" s="83"/>
      <c r="D80" s="83"/>
      <c r="E80" s="83"/>
      <c r="F80" s="103"/>
      <c r="G80" s="104"/>
      <c r="H80" s="11"/>
      <c r="I80" s="41"/>
      <c r="J80" s="83"/>
      <c r="K80" s="11"/>
      <c r="L80" s="81"/>
      <c r="M80" s="84"/>
      <c r="N80" s="13"/>
      <c r="O80" s="80"/>
      <c r="P80" s="80"/>
      <c r="Q80" s="39"/>
    </row>
    <row r="81" spans="1:17" ht="14.45" customHeight="1">
      <c r="A81" s="14" t="s">
        <v>62</v>
      </c>
      <c r="B81" s="90"/>
      <c r="C81" s="90"/>
      <c r="D81" s="90"/>
      <c r="E81" s="109">
        <v>0.5</v>
      </c>
      <c r="F81" s="127"/>
      <c r="G81" s="90"/>
      <c r="H81" s="11"/>
      <c r="I81" s="41"/>
      <c r="J81" s="83"/>
      <c r="K81" s="11"/>
      <c r="L81" s="81"/>
      <c r="M81" s="80"/>
      <c r="N81" s="39"/>
      <c r="O81" s="80"/>
      <c r="P81" s="80"/>
      <c r="Q81" s="39"/>
    </row>
    <row r="82" spans="1:17" ht="14.45" customHeight="1">
      <c r="A82" s="14" t="s">
        <v>63</v>
      </c>
      <c r="B82" s="90"/>
      <c r="C82" s="90"/>
      <c r="D82" s="90"/>
      <c r="E82" s="109">
        <v>1</v>
      </c>
      <c r="F82" s="127"/>
      <c r="G82" s="90"/>
      <c r="H82" s="11"/>
      <c r="I82" s="41"/>
      <c r="J82" s="83"/>
      <c r="K82" s="11"/>
      <c r="L82" s="81"/>
      <c r="M82" s="84"/>
      <c r="N82" s="13"/>
      <c r="O82" s="80"/>
      <c r="P82" s="80"/>
      <c r="Q82" s="39"/>
    </row>
    <row r="83" spans="1:17" ht="14.45" customHeight="1">
      <c r="A83" s="14" t="s">
        <v>64</v>
      </c>
      <c r="B83" s="90"/>
      <c r="C83" s="90"/>
      <c r="D83" s="90"/>
      <c r="E83" s="98">
        <v>0.15</v>
      </c>
      <c r="F83" s="99"/>
      <c r="G83" s="104"/>
      <c r="H83" s="11"/>
      <c r="I83" s="41"/>
      <c r="J83" s="83"/>
      <c r="K83" s="11"/>
      <c r="L83" s="81"/>
      <c r="M83" s="84"/>
      <c r="N83" s="13"/>
      <c r="O83" s="80"/>
      <c r="P83" s="80"/>
      <c r="Q83" s="39"/>
    </row>
    <row r="84" spans="1:17" ht="14.45" customHeight="1">
      <c r="A84" s="14" t="s">
        <v>65</v>
      </c>
      <c r="B84" s="97"/>
      <c r="C84" s="83"/>
      <c r="D84" s="83"/>
      <c r="E84" s="98">
        <v>0.4</v>
      </c>
      <c r="F84" s="99"/>
      <c r="G84" s="104"/>
      <c r="H84" s="11"/>
      <c r="I84" s="41"/>
      <c r="J84" s="83"/>
      <c r="K84" s="11"/>
      <c r="L84" s="81"/>
      <c r="M84" s="84"/>
      <c r="N84" s="13"/>
      <c r="O84" s="80"/>
      <c r="P84" s="80"/>
      <c r="Q84" s="39"/>
    </row>
    <row r="85" spans="1:17" ht="14.45" customHeight="1">
      <c r="A85" s="10"/>
      <c r="B85" s="81"/>
      <c r="C85" s="81"/>
      <c r="D85" s="81"/>
      <c r="E85" s="81"/>
      <c r="F85" s="81"/>
      <c r="G85" s="81"/>
      <c r="H85" s="13"/>
      <c r="I85" s="10"/>
      <c r="J85" s="81"/>
      <c r="K85" s="13"/>
      <c r="L85" s="81"/>
      <c r="M85" s="81"/>
      <c r="N85" s="13"/>
      <c r="O85" s="80"/>
      <c r="P85" s="80"/>
      <c r="Q85" s="39"/>
    </row>
    <row r="86" spans="1:17" ht="14.45" customHeight="1">
      <c r="A86" s="16" t="s">
        <v>73</v>
      </c>
      <c r="B86" s="81"/>
      <c r="C86" s="81"/>
      <c r="D86" s="81"/>
      <c r="E86" s="81"/>
      <c r="F86" s="81"/>
      <c r="G86" s="81"/>
      <c r="H86" s="11"/>
      <c r="I86" s="41"/>
      <c r="J86" s="83"/>
      <c r="K86" s="11"/>
      <c r="L86" s="105"/>
      <c r="M86" s="87">
        <v>41.45</v>
      </c>
      <c r="N86" s="17" t="s">
        <v>16</v>
      </c>
      <c r="O86" s="80"/>
      <c r="P86" s="80"/>
      <c r="Q86" s="39"/>
    </row>
    <row r="87" spans="1:17" ht="14.45" customHeight="1">
      <c r="A87" s="10" t="s">
        <v>66</v>
      </c>
      <c r="B87" s="81"/>
      <c r="C87" s="81"/>
      <c r="D87" s="81"/>
      <c r="E87" s="81"/>
      <c r="F87" s="81"/>
      <c r="G87" s="81"/>
      <c r="H87" s="11"/>
      <c r="I87" s="41"/>
      <c r="J87" s="83"/>
      <c r="K87" s="11"/>
      <c r="L87" s="81"/>
      <c r="M87" s="87"/>
      <c r="N87" s="17"/>
      <c r="O87" s="80"/>
      <c r="P87" s="80"/>
      <c r="Q87" s="39"/>
    </row>
    <row r="88" spans="1:17" ht="14.45" customHeight="1">
      <c r="A88" s="24" t="s">
        <v>74</v>
      </c>
      <c r="B88" s="25"/>
      <c r="C88" s="25"/>
      <c r="D88" s="25"/>
      <c r="E88" s="25"/>
      <c r="F88" s="25"/>
      <c r="G88" s="25"/>
      <c r="H88" s="26"/>
      <c r="I88" s="44"/>
      <c r="J88" s="34"/>
      <c r="K88" s="26"/>
      <c r="L88" s="27"/>
      <c r="M88" s="28">
        <v>40.1</v>
      </c>
      <c r="N88" s="29" t="s">
        <v>16</v>
      </c>
      <c r="O88" s="119"/>
      <c r="P88" s="119"/>
      <c r="Q88" s="120"/>
    </row>
  </sheetData>
  <mergeCells count="37">
    <mergeCell ref="O3:Q4"/>
    <mergeCell ref="A1:Q2"/>
    <mergeCell ref="I3:K4"/>
    <mergeCell ref="E82:F82"/>
    <mergeCell ref="E83:F83"/>
    <mergeCell ref="F62:G62"/>
    <mergeCell ref="F47:G47"/>
    <mergeCell ref="F48:G48"/>
    <mergeCell ref="F51:G51"/>
    <mergeCell ref="F58:G58"/>
    <mergeCell ref="F59:G59"/>
    <mergeCell ref="F60:G60"/>
    <mergeCell ref="F61:G61"/>
    <mergeCell ref="F46:G46"/>
    <mergeCell ref="F23:G23"/>
    <mergeCell ref="F27:G27"/>
    <mergeCell ref="E84:F84"/>
    <mergeCell ref="F63:G63"/>
    <mergeCell ref="F64:G64"/>
    <mergeCell ref="F65:G65"/>
    <mergeCell ref="F66:G66"/>
    <mergeCell ref="F76:G76"/>
    <mergeCell ref="E81:F81"/>
    <mergeCell ref="F38:G38"/>
    <mergeCell ref="F39:G39"/>
    <mergeCell ref="F45:G45"/>
    <mergeCell ref="F20:G20"/>
    <mergeCell ref="F28:G28"/>
    <mergeCell ref="F29:G29"/>
    <mergeCell ref="F30:G30"/>
    <mergeCell ref="F33:G33"/>
    <mergeCell ref="F36:G36"/>
    <mergeCell ref="A3:H4"/>
    <mergeCell ref="L3:N4"/>
    <mergeCell ref="F18:G18"/>
    <mergeCell ref="F19:G19"/>
    <mergeCell ref="F37:G37"/>
  </mergeCells>
  <phoneticPr fontId="13" type="noConversion"/>
  <printOptions horizontalCentered="1"/>
  <pageMargins left="0.78740157480314965" right="0.78740157480314965" top="0.78740157480314965" bottom="0.59055118110236227" header="0.59055118110236227" footer="0.39370078740157483"/>
  <pageSetup paperSize="9" scale="77" fitToHeight="500" orientation="portrait" r:id="rId1"/>
  <headerFooter alignWithMargins="0"/>
  <rowBreaks count="1" manualBreakCount="1">
    <brk id="48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총괄수량(수리)</vt:lpstr>
      <vt:lpstr>수리계산서</vt:lpstr>
      <vt:lpstr>수리계산서!Print_Area</vt:lpstr>
      <vt:lpstr>'총괄수량(수리)'!Print_Area</vt:lpstr>
      <vt:lpstr>수리계산서!Print_Titles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이승호</dc:creator>
  <cp:lastModifiedBy>이승호</cp:lastModifiedBy>
  <cp:lastPrinted>2025-03-11T07:43:24Z</cp:lastPrinted>
  <dcterms:created xsi:type="dcterms:W3CDTF">2025-02-27T04:27:47Z</dcterms:created>
  <dcterms:modified xsi:type="dcterms:W3CDTF">2025-07-11T07:34:56Z</dcterms:modified>
</cp:coreProperties>
</file>